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akash\OneDrive\Documents\Dashboards\Sales Performance\"/>
    </mc:Choice>
  </mc:AlternateContent>
  <xr:revisionPtr revIDLastSave="0" documentId="13_ncr:1_{C6E4DA4F-CC3F-4D83-9D1C-F031012CB5FA}" xr6:coauthVersionLast="47" xr6:coauthVersionMax="47" xr10:uidLastSave="{00000000-0000-0000-0000-000000000000}"/>
  <bookViews>
    <workbookView showHorizontalScroll="0" showVerticalScroll="0" showSheetTabs="0" xWindow="-108" yWindow="-108" windowWidth="23256" windowHeight="12576" activeTab="2" xr2:uid="{2C50C5B6-637E-498F-8639-CA6DD8758E19}"/>
  </bookViews>
  <sheets>
    <sheet name="Database" sheetId="2" r:id="rId1"/>
    <sheet name="Pivot_tables" sheetId="4" state="hidden" r:id="rId2"/>
    <sheet name="Dashboard" sheetId="3" r:id="rId3"/>
    <sheet name="passwd" sheetId="5" state="hidden" r:id="rId4"/>
  </sheets>
  <definedNames>
    <definedName name="Slicer_Month">#N/A</definedName>
    <definedName name="Slicer_Sale_Team">#N/A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S5" i="4" l="1"/>
  <c r="CS6" i="4" s="1"/>
  <c r="CS7" i="4" s="1"/>
  <c r="CT5" i="4"/>
  <c r="CT6" i="4" s="1"/>
  <c r="CT7" i="4" s="1"/>
  <c r="CU5" i="4"/>
  <c r="CU6" i="4" s="1"/>
  <c r="CU7" i="4" s="1"/>
  <c r="CV5" i="4"/>
  <c r="CV6" i="4" s="1"/>
  <c r="CV7" i="4" s="1"/>
  <c r="CW5" i="4"/>
  <c r="CW6" i="4" s="1"/>
  <c r="CW7" i="4" s="1"/>
  <c r="CR5" i="4"/>
  <c r="CR6" i="4" s="1"/>
  <c r="CR7" i="4" s="1"/>
  <c r="CG5" i="4"/>
  <c r="CF5" i="4"/>
  <c r="BV6" i="4"/>
  <c r="BV5" i="4"/>
  <c r="BV4" i="4"/>
  <c r="BP6" i="4"/>
  <c r="BQ6" i="4"/>
  <c r="BP7" i="4"/>
  <c r="BQ7" i="4"/>
  <c r="BP8" i="4"/>
  <c r="BQ8" i="4"/>
  <c r="BP9" i="4"/>
  <c r="BQ9" i="4"/>
  <c r="BP10" i="4"/>
  <c r="BQ10" i="4"/>
  <c r="BP11" i="4"/>
  <c r="BQ11" i="4"/>
  <c r="BP12" i="4"/>
  <c r="BQ12" i="4"/>
  <c r="BP13" i="4"/>
  <c r="BQ13" i="4"/>
  <c r="BP14" i="4"/>
  <c r="BQ14" i="4"/>
  <c r="BP15" i="4"/>
  <c r="BQ15" i="4"/>
  <c r="BP16" i="4"/>
  <c r="BQ16" i="4"/>
  <c r="BQ5" i="4"/>
  <c r="BP5" i="4"/>
  <c r="BJ5" i="4"/>
  <c r="BJ6" i="4"/>
  <c r="BJ7" i="4"/>
  <c r="BJ8" i="4"/>
  <c r="BJ9" i="4"/>
  <c r="BI6" i="4"/>
  <c r="BI7" i="4"/>
  <c r="BI8" i="4"/>
  <c r="BI9" i="4"/>
  <c r="BI5" i="4"/>
  <c r="AE6" i="4"/>
  <c r="AE5" i="4"/>
  <c r="X7" i="4"/>
  <c r="X6" i="4"/>
  <c r="X5" i="4"/>
  <c r="P5" i="4"/>
  <c r="P6" i="4"/>
  <c r="P7" i="4"/>
  <c r="P8" i="4"/>
  <c r="P9" i="4"/>
  <c r="O6" i="4"/>
  <c r="O7" i="4"/>
  <c r="O8" i="4"/>
  <c r="O9" i="4"/>
  <c r="O5" i="4"/>
  <c r="I5" i="4"/>
  <c r="I4" i="4"/>
  <c r="AF6" i="4"/>
  <c r="AF5" i="4"/>
  <c r="CY6" i="4" l="1"/>
  <c r="BS6" i="4"/>
  <c r="BS16" i="4"/>
  <c r="BS10" i="4"/>
  <c r="BS9" i="4"/>
  <c r="BS8" i="4"/>
  <c r="BR5" i="4"/>
  <c r="BS5" i="4"/>
  <c r="BR16" i="4"/>
  <c r="BR15" i="4"/>
  <c r="BR12" i="4"/>
  <c r="BR11" i="4"/>
  <c r="BR10" i="4"/>
  <c r="BS15" i="4"/>
  <c r="BS11" i="4"/>
  <c r="BR9" i="4"/>
  <c r="BS14" i="4"/>
  <c r="BR13" i="4"/>
  <c r="BS12" i="4"/>
  <c r="BR8" i="4"/>
  <c r="BR14" i="4"/>
  <c r="BS13" i="4"/>
  <c r="BR7" i="4"/>
  <c r="BS7" i="4"/>
  <c r="BR6" i="4"/>
</calcChain>
</file>

<file path=xl/sharedStrings.xml><?xml version="1.0" encoding="utf-8"?>
<sst xmlns="http://schemas.openxmlformats.org/spreadsheetml/2006/main" count="10776" uniqueCount="112">
  <si>
    <t>Fees Status</t>
  </si>
  <si>
    <t>Day</t>
  </si>
  <si>
    <t>Month</t>
  </si>
  <si>
    <t>Advertising Channel</t>
  </si>
  <si>
    <t xml:space="preserve">Advertisement </t>
  </si>
  <si>
    <t>Enrolled Courses</t>
  </si>
  <si>
    <t>Paid Fees</t>
  </si>
  <si>
    <t>Number of phone calls</t>
  </si>
  <si>
    <t>Average call duration</t>
  </si>
  <si>
    <t>Training Models</t>
  </si>
  <si>
    <t>Training Levels</t>
  </si>
  <si>
    <t>Area Code</t>
  </si>
  <si>
    <t>Sale Team</t>
  </si>
  <si>
    <t>Consultant</t>
  </si>
  <si>
    <t>Paid</t>
  </si>
  <si>
    <t>Apr</t>
  </si>
  <si>
    <t>Television Ad</t>
  </si>
  <si>
    <t>AD01-9364</t>
  </si>
  <si>
    <t>GK</t>
  </si>
  <si>
    <t>KJI. L4</t>
  </si>
  <si>
    <t>A7</t>
  </si>
  <si>
    <t>Haidy</t>
  </si>
  <si>
    <t>Jood</t>
  </si>
  <si>
    <t>Aug</t>
  </si>
  <si>
    <t>AD01-9361</t>
  </si>
  <si>
    <t>Pre. L8</t>
  </si>
  <si>
    <t>B13</t>
  </si>
  <si>
    <t>Hossam</t>
  </si>
  <si>
    <t>Kisho</t>
  </si>
  <si>
    <t>Sep</t>
  </si>
  <si>
    <t>Company Website</t>
  </si>
  <si>
    <t>Fndn. L5</t>
  </si>
  <si>
    <t>A1</t>
  </si>
  <si>
    <t>Rony</t>
  </si>
  <si>
    <t>Facebook Page</t>
  </si>
  <si>
    <t>A2</t>
  </si>
  <si>
    <t>Rovan</t>
  </si>
  <si>
    <t>Adam</t>
  </si>
  <si>
    <t>Fndn. L3</t>
  </si>
  <si>
    <t>Beyablo</t>
  </si>
  <si>
    <t>Khalil</t>
  </si>
  <si>
    <t>Oct</t>
  </si>
  <si>
    <t>WhatsApp</t>
  </si>
  <si>
    <t>Fndn. L1</t>
  </si>
  <si>
    <t>A4</t>
  </si>
  <si>
    <t>Sahar</t>
  </si>
  <si>
    <t>AD01-9362</t>
  </si>
  <si>
    <t>B12</t>
  </si>
  <si>
    <t>Nov</t>
  </si>
  <si>
    <t>AD01-9363</t>
  </si>
  <si>
    <t>BE</t>
  </si>
  <si>
    <t>Pre. L2</t>
  </si>
  <si>
    <t>B18</t>
  </si>
  <si>
    <t>Google Ad</t>
  </si>
  <si>
    <t>Fndn. L6</t>
  </si>
  <si>
    <t>C8</t>
  </si>
  <si>
    <t>Mohmed</t>
  </si>
  <si>
    <t>Dary</t>
  </si>
  <si>
    <t>Reham</t>
  </si>
  <si>
    <t>Jan</t>
  </si>
  <si>
    <t>Pre. L3</t>
  </si>
  <si>
    <t>Feb</t>
  </si>
  <si>
    <t>Mar</t>
  </si>
  <si>
    <t>May</t>
  </si>
  <si>
    <t>Jun</t>
  </si>
  <si>
    <t>CNI</t>
  </si>
  <si>
    <t>Dina</t>
  </si>
  <si>
    <t>John</t>
  </si>
  <si>
    <t>Pre. L4</t>
  </si>
  <si>
    <t>Hisham</t>
  </si>
  <si>
    <t>Ahmed</t>
  </si>
  <si>
    <t>Hany</t>
  </si>
  <si>
    <t>AD01-9365</t>
  </si>
  <si>
    <t>Dec</t>
  </si>
  <si>
    <t>Not Paid</t>
  </si>
  <si>
    <t>Kenza</t>
  </si>
  <si>
    <t>Jul</t>
  </si>
  <si>
    <t>Youtube Channel</t>
  </si>
  <si>
    <t>FC</t>
  </si>
  <si>
    <t>Habib</t>
  </si>
  <si>
    <t>Count of Fees Status</t>
  </si>
  <si>
    <t>Sum of Paid Fees</t>
  </si>
  <si>
    <t>Row Labels</t>
  </si>
  <si>
    <t>Grand Total</t>
  </si>
  <si>
    <t>Total Earnings</t>
  </si>
  <si>
    <t>Total Calls</t>
  </si>
  <si>
    <t>Top 5 consultants sales Revenue</t>
  </si>
  <si>
    <t>Total Earnings by Month</t>
  </si>
  <si>
    <t>Sum of Paid Fees2</t>
  </si>
  <si>
    <t>Max</t>
  </si>
  <si>
    <t>Avg.</t>
  </si>
  <si>
    <t>Min</t>
  </si>
  <si>
    <t>Paid/Unpaid calls</t>
  </si>
  <si>
    <t>Sum of Enrolled Courses</t>
  </si>
  <si>
    <t>Average of Enrolled Courses</t>
  </si>
  <si>
    <t>Area code counts</t>
  </si>
  <si>
    <t>Count of Area Code</t>
  </si>
  <si>
    <t>Training Levels fees by Sales team</t>
  </si>
  <si>
    <t>Enrolled courses on Training Levels</t>
  </si>
  <si>
    <t>top 5 Training levels</t>
  </si>
  <si>
    <t>Avg paid calls duration by month</t>
  </si>
  <si>
    <t>Average of Average call duration</t>
  </si>
  <si>
    <t>Months</t>
  </si>
  <si>
    <t>Duration</t>
  </si>
  <si>
    <t>Avg</t>
  </si>
  <si>
    <t>Consultant by total sales</t>
  </si>
  <si>
    <t>Advertising Channels</t>
  </si>
  <si>
    <t>Actual</t>
  </si>
  <si>
    <t>Difference</t>
  </si>
  <si>
    <t>Paid Advertisement</t>
  </si>
  <si>
    <t>Column Labels</t>
  </si>
  <si>
    <t>Training models fees by sales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</si>
</sst>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 #,##0.00_ ;_ * \-#,##0.00_ ;_ * &quot;-&quot;??_ ;_ @_ "/>
    <numFmt numFmtId="164" formatCode="_(&quot;$&quot;* #,##0.00_);_(&quot;$&quot;* \(#,##0.00\);_(&quot;$&quot;* &quot;-&quot;??_);_(@_)"/>
    <numFmt numFmtId="165" formatCode="[$EGP]\ #,##0_);\([$EGP]\ #,##0\)"/>
    <numFmt numFmtId="166" formatCode="_ * #,##0_ ;_ * \-#,##0_ ;_ * &quot;-&quot;??_ ;_ @_ "/>
    <numFmt numFmtId="167" formatCode="[&lt;999950]0.0,&quot;K&quot;;[&lt;999950000]0.0,,&quot;M&quot;;0.0,,,&quot;B&quot;"/>
  </numFmts>
  <fonts count="11" x14ac:knownFonts="1">
    <font>
      <sz val="11"/>
      <color theme="1"/>
      <name val="Calibri"/>
      <family val="2"/>
      <scheme val="minor"/>
    </font>
    <font>
      <sz val="11"/>
      <color theme="1"/>
      <name val="Calibri"/>
      <family val="2"/>
      <scheme val="minor"/>
    </font>
    <font>
      <sz val="10"/>
      <color rgb="FF000000"/>
      <name val="Arial"/>
      <family val="2"/>
    </font>
    <font>
      <sz val="12"/>
      <color theme="1"/>
      <name val="Calibri"/>
      <family val="2"/>
      <scheme val="minor"/>
    </font>
    <font>
      <sz val="11"/>
      <color theme="1"/>
      <name val="Arial"/>
      <family val="2"/>
    </font>
    <font>
      <b/>
      <sz val="12"/>
      <color theme="2" tint="-0.499984740745262"/>
      <name val="Calibri"/>
      <family val="2"/>
      <scheme val="minor"/>
    </font>
    <font>
      <sz val="11"/>
      <color theme="2" tint="-0.499984740745262"/>
      <name val="Arial"/>
      <family val="2"/>
    </font>
    <font>
      <sz val="12"/>
      <color theme="2" tint="-0.499984740745262"/>
      <name val="Calibri"/>
      <family val="2"/>
      <scheme val="minor"/>
    </font>
    <font>
      <sz val="11"/>
      <color theme="0"/>
      <name val="Arial"/>
      <family val="2"/>
    </font>
    <font>
      <sz val="11"/>
      <color rgb="FFC00000"/>
      <name val="Arial"/>
      <family val="2"/>
    </font>
    <font>
      <sz val="11"/>
      <color theme="1"/>
      <name val="Arial"/>
    </font>
  </fonts>
  <fills count="6">
    <fill>
      <patternFill patternType="none"/>
    </fill>
    <fill>
      <patternFill patternType="gray125"/>
    </fill>
    <fill>
      <patternFill patternType="solid">
        <fgColor rgb="FF362F4B"/>
        <bgColor indexed="64"/>
      </patternFill>
    </fill>
    <fill>
      <patternFill patternType="solid">
        <fgColor rgb="FFF6F6F6"/>
        <bgColor indexed="64"/>
      </patternFill>
    </fill>
    <fill>
      <patternFill patternType="solid">
        <fgColor rgb="FF4958CE"/>
        <bgColor indexed="64"/>
      </patternFill>
    </fill>
    <fill>
      <patternFill patternType="solid">
        <fgColor rgb="FFF1F0F5"/>
        <bgColor indexed="64"/>
      </patternFill>
    </fill>
  </fills>
  <borders count="9">
    <border>
      <left/>
      <right/>
      <top/>
      <bottom/>
      <diagonal/>
    </border>
    <border>
      <left/>
      <right style="thick">
        <color rgb="FF4958CE"/>
      </right>
      <top/>
      <bottom/>
      <diagonal/>
    </border>
    <border>
      <left style="thick">
        <color rgb="FF4958CE"/>
      </left>
      <right style="thick">
        <color rgb="FF4958CE"/>
      </right>
      <top style="thick">
        <color rgb="FF4958CE"/>
      </top>
      <bottom style="thick">
        <color rgb="FF4958CE"/>
      </bottom>
      <diagonal/>
    </border>
    <border>
      <left style="thick">
        <color rgb="FF4958CE"/>
      </left>
      <right/>
      <top style="thick">
        <color rgb="FF4958CE"/>
      </top>
      <bottom/>
      <diagonal/>
    </border>
    <border>
      <left/>
      <right style="thick">
        <color rgb="FF4958CE"/>
      </right>
      <top style="thick">
        <color rgb="FF4958CE"/>
      </top>
      <bottom/>
      <diagonal/>
    </border>
    <border>
      <left style="thick">
        <color rgb="FF4958CE"/>
      </left>
      <right/>
      <top/>
      <bottom style="thick">
        <color rgb="FF4958CE"/>
      </bottom>
      <diagonal/>
    </border>
    <border>
      <left/>
      <right style="thick">
        <color rgb="FF4958CE"/>
      </right>
      <top/>
      <bottom style="thick">
        <color rgb="FF4958CE"/>
      </bottom>
      <diagonal/>
    </border>
    <border>
      <left style="thick">
        <color rgb="FF4958CE"/>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0" fontId="3" fillId="0" borderId="0"/>
    <xf numFmtId="164" fontId="3" fillId="0" borderId="0" applyFont="0" applyFill="0" applyBorder="0" applyAlignment="0" applyProtection="0"/>
  </cellStyleXfs>
  <cellXfs count="53">
    <xf numFmtId="0" fontId="0" fillId="0" borderId="0" xfId="0"/>
    <xf numFmtId="165" fontId="6" fillId="0" borderId="0" xfId="5" applyNumberFormat="1" applyFont="1" applyFill="1" applyBorder="1" applyAlignment="1">
      <alignment horizontal="center" vertical="center"/>
    </xf>
    <xf numFmtId="0" fontId="7" fillId="0" borderId="0" xfId="4" applyFont="1" applyBorder="1" applyAlignment="1">
      <alignment horizontal="center" vertical="center"/>
    </xf>
    <xf numFmtId="0" fontId="5" fillId="0" borderId="0" xfId="4" applyFont="1" applyBorder="1" applyAlignment="1">
      <alignment horizontal="center" vertical="center"/>
    </xf>
    <xf numFmtId="0" fontId="6" fillId="0" borderId="0" xfId="3" applyFont="1" applyBorder="1" applyAlignment="1">
      <alignment horizontal="center" vertical="center"/>
    </xf>
    <xf numFmtId="1" fontId="6" fillId="0" borderId="0" xfId="3" applyNumberFormat="1" applyFont="1" applyBorder="1" applyAlignment="1">
      <alignment horizontal="center" vertical="center"/>
    </xf>
    <xf numFmtId="14" fontId="6" fillId="0" borderId="0" xfId="3" applyNumberFormat="1" applyFont="1" applyBorder="1" applyAlignment="1">
      <alignment horizontal="center" vertical="center"/>
    </xf>
    <xf numFmtId="3" fontId="6" fillId="0" borderId="0" xfId="3" applyNumberFormat="1" applyFont="1" applyBorder="1" applyAlignment="1">
      <alignment horizontal="center" vertical="center"/>
    </xf>
    <xf numFmtId="45" fontId="6" fillId="0" borderId="0" xfId="4" applyNumberFormat="1" applyFont="1" applyBorder="1" applyAlignment="1">
      <alignment horizontal="center" vertical="center"/>
    </xf>
    <xf numFmtId="0" fontId="8" fillId="2" borderId="0" xfId="3" applyFont="1" applyFill="1" applyBorder="1" applyAlignment="1">
      <alignment horizontal="center" vertical="center" wrapText="1"/>
    </xf>
    <xf numFmtId="15" fontId="8" fillId="2" borderId="0" xfId="3" applyNumberFormat="1" applyFont="1" applyFill="1" applyBorder="1" applyAlignment="1">
      <alignment horizontal="center" vertical="center" wrapText="1"/>
    </xf>
    <xf numFmtId="0" fontId="6" fillId="3" borderId="0" xfId="3" applyFont="1" applyFill="1" applyBorder="1" applyAlignment="1">
      <alignment horizontal="center" vertical="center"/>
    </xf>
    <xf numFmtId="1" fontId="6" fillId="3" borderId="0" xfId="3" applyNumberFormat="1" applyFont="1" applyFill="1" applyBorder="1" applyAlignment="1">
      <alignment horizontal="center" vertical="center"/>
    </xf>
    <xf numFmtId="14" fontId="6" fillId="3" borderId="0" xfId="3" applyNumberFormat="1" applyFont="1" applyFill="1" applyBorder="1" applyAlignment="1">
      <alignment horizontal="center" vertical="center"/>
    </xf>
    <xf numFmtId="3" fontId="6" fillId="3" borderId="0" xfId="3" applyNumberFormat="1" applyFont="1" applyFill="1" applyBorder="1" applyAlignment="1">
      <alignment horizontal="center" vertical="center"/>
    </xf>
    <xf numFmtId="165" fontId="6" fillId="3" borderId="0" xfId="5" applyNumberFormat="1" applyFont="1" applyFill="1" applyBorder="1" applyAlignment="1">
      <alignment horizontal="center" vertical="center"/>
    </xf>
    <xf numFmtId="45" fontId="6" fillId="3" borderId="0" xfId="4" applyNumberFormat="1" applyFont="1" applyFill="1" applyBorder="1" applyAlignment="1">
      <alignment horizontal="center" vertical="center"/>
    </xf>
    <xf numFmtId="0" fontId="7" fillId="4" borderId="1" xfId="4" applyFont="1" applyFill="1" applyBorder="1" applyAlignment="1">
      <alignment horizontal="center" vertical="center"/>
    </xf>
    <xf numFmtId="0" fontId="5" fillId="4" borderId="1" xfId="4" applyFont="1" applyFill="1" applyBorder="1" applyAlignment="1">
      <alignment horizontal="center" vertical="center"/>
    </xf>
    <xf numFmtId="0" fontId="0" fillId="5" borderId="0" xfId="0" applyFill="1"/>
    <xf numFmtId="0" fontId="4" fillId="0" borderId="0" xfId="0" applyFont="1"/>
    <xf numFmtId="3" fontId="4" fillId="0" borderId="0" xfId="0" applyNumberFormat="1" applyFont="1"/>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1" xfId="0" applyFont="1" applyBorder="1"/>
    <xf numFmtId="3" fontId="4" fillId="0" borderId="1" xfId="0" applyNumberFormat="1" applyFont="1" applyBorder="1"/>
    <xf numFmtId="0" fontId="4" fillId="0" borderId="3" xfId="0" applyFont="1" applyBorder="1" applyAlignment="1">
      <alignment horizontal="left"/>
    </xf>
    <xf numFmtId="166" fontId="4" fillId="0" borderId="4" xfId="1" applyNumberFormat="1" applyFont="1" applyBorder="1"/>
    <xf numFmtId="0" fontId="4" fillId="0" borderId="5" xfId="0" applyFont="1" applyBorder="1" applyAlignment="1">
      <alignment horizontal="left"/>
    </xf>
    <xf numFmtId="166" fontId="4" fillId="0" borderId="6" xfId="1" applyNumberFormat="1" applyFont="1" applyBorder="1" applyAlignment="1">
      <alignment horizontal="right"/>
    </xf>
    <xf numFmtId="0" fontId="9" fillId="0" borderId="0" xfId="0" applyFont="1"/>
    <xf numFmtId="0" fontId="9" fillId="0" borderId="1" xfId="0" applyFont="1" applyBorder="1"/>
    <xf numFmtId="0" fontId="9" fillId="0" borderId="7" xfId="0" applyFont="1" applyBorder="1"/>
    <xf numFmtId="0" fontId="4" fillId="0" borderId="7" xfId="0" applyFont="1" applyBorder="1"/>
    <xf numFmtId="167" fontId="4" fillId="0" borderId="0" xfId="0" applyNumberFormat="1" applyFont="1"/>
    <xf numFmtId="166" fontId="4" fillId="0" borderId="2" xfId="1" applyNumberFormat="1" applyFont="1" applyBorder="1"/>
    <xf numFmtId="9" fontId="4" fillId="0" borderId="2" xfId="2" applyFont="1" applyBorder="1"/>
    <xf numFmtId="0" fontId="10" fillId="0" borderId="0" xfId="0" pivotButton="1" applyFont="1"/>
    <xf numFmtId="0" fontId="10" fillId="0" borderId="0" xfId="0" applyFont="1"/>
    <xf numFmtId="167" fontId="10" fillId="0" borderId="0" xfId="0" applyNumberFormat="1" applyFont="1"/>
    <xf numFmtId="0" fontId="10" fillId="0" borderId="0" xfId="0" applyFont="1" applyAlignment="1">
      <alignment horizontal="left"/>
    </xf>
    <xf numFmtId="0" fontId="4" fillId="0" borderId="8" xfId="0" applyFont="1" applyBorder="1"/>
    <xf numFmtId="166" fontId="4" fillId="0" borderId="8" xfId="1" applyNumberFormat="1" applyFont="1" applyBorder="1"/>
    <xf numFmtId="45" fontId="4" fillId="0" borderId="0" xfId="0" applyNumberFormat="1" applyFont="1"/>
    <xf numFmtId="0" fontId="4" fillId="0" borderId="8" xfId="0" applyFont="1" applyBorder="1" applyAlignment="1">
      <alignment horizontal="center" vertical="center"/>
    </xf>
    <xf numFmtId="45" fontId="4" fillId="0" borderId="8" xfId="0" applyNumberFormat="1" applyFont="1" applyBorder="1" applyAlignment="1">
      <alignment horizontal="center" vertical="center"/>
    </xf>
    <xf numFmtId="167" fontId="10" fillId="0" borderId="8" xfId="0" applyNumberFormat="1" applyFont="1" applyBorder="1"/>
    <xf numFmtId="0" fontId="10" fillId="0" borderId="0" xfId="0" applyNumberFormat="1" applyFont="1"/>
    <xf numFmtId="3" fontId="10" fillId="0" borderId="0" xfId="0" applyNumberFormat="1" applyFont="1"/>
    <xf numFmtId="0" fontId="10" fillId="0" borderId="0" xfId="0" applyFont="1" applyAlignment="1">
      <alignment horizontal="left" indent="1"/>
    </xf>
    <xf numFmtId="2" fontId="10" fillId="0" borderId="0" xfId="0" applyNumberFormat="1" applyFont="1"/>
    <xf numFmtId="166" fontId="10" fillId="0" borderId="0" xfId="0" applyNumberFormat="1" applyFont="1"/>
  </cellXfs>
  <cellStyles count="6">
    <cellStyle name="Comma" xfId="1" builtinId="3"/>
    <cellStyle name="Currency 2" xfId="5" xr:uid="{508AD344-2428-4A62-91AD-563CFD1A427D}"/>
    <cellStyle name="Normal" xfId="0" builtinId="0"/>
    <cellStyle name="Normal 2" xfId="3" xr:uid="{D90472BB-534E-4D5A-9542-1D76DF7EDCAA}"/>
    <cellStyle name="Normal 3" xfId="4" xr:uid="{8339AB6F-9E15-4D2D-8719-475B8D7DD3AE}"/>
    <cellStyle name="Percent" xfId="2" builtinId="5"/>
  </cellStyles>
  <dxfs count="410">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28" formatCode="mm:ss"/>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28" formatCode="mm:ss"/>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65" formatCode="[$EGP]\ #,##0_);\([$EGP]\ #,##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0"/>
        <name val="Arial"/>
        <family val="2"/>
        <scheme val="none"/>
      </font>
      <fill>
        <patternFill patternType="solid">
          <fgColor indexed="64"/>
          <bgColor rgb="FF362F4B"/>
        </patternFill>
      </fill>
      <alignment horizontal="center" vertical="center" textRotation="0" wrapText="1" indent="0" justifyLastLine="0" shrinkToFit="0" readingOrder="0"/>
    </dxf>
    <dxf>
      <fill>
        <patternFill>
          <bgColor rgb="FFA5C2E3"/>
        </patternFill>
      </fill>
    </dxf>
  </dxfs>
  <tableStyles count="1" defaultTableStyle="TableStyleMedium2" defaultPivotStyle="PivotStyleLight16">
    <tableStyle name="Slicer Style 1" pivot="0" table="0" count="9" xr9:uid="{F5395A08-8F1C-49EA-8FDB-90B3FD84D2AB}">
      <tableStyleElement type="wholeTable" dxfId="409"/>
    </tableStyle>
  </tableStyles>
  <colors>
    <mruColors>
      <color rgb="FF8D7EF3"/>
      <color rgb="FFFED14E"/>
      <color rgb="FFA5C2E3"/>
      <color rgb="FF0AEAE0"/>
      <color rgb="FFF8689F"/>
      <color rgb="FF4958CE"/>
      <color rgb="FF00B626"/>
      <color rgb="FFA13F9E"/>
      <color rgb="FFF1F0F5"/>
      <color rgb="FF362F4B"/>
    </mruColors>
  </colors>
  <extLst>
    <ext xmlns:x14="http://schemas.microsoft.com/office/spreadsheetml/2009/9/main" uri="{46F421CA-312F-682f-3DD2-61675219B42D}">
      <x14:dxfs count="8">
        <dxf>
          <font>
            <b/>
            <i val="0"/>
            <color theme="0"/>
          </font>
        </dxf>
        <dxf>
          <font>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Data.xlsm]Pivot_tables!total_earnings</c:name>
    <c:fmtId val="6"/>
  </c:pivotSource>
  <c:chart>
    <c:autoTitleDeleted val="1"/>
    <c:pivotFmts>
      <c:pivotFmt>
        <c:idx val="0"/>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8689F">
                  <a:alpha val="30000"/>
                </a:srgbClr>
              </a:gs>
              <a:gs pos="64000">
                <a:srgbClr val="F8689F">
                  <a:alpha val="0"/>
                </a:srgbClr>
              </a:gs>
            </a:gsLst>
            <a:lin ang="5400000" scaled="1"/>
          </a:gradFill>
          <a:ln>
            <a:noFill/>
          </a:ln>
          <a:effectLst/>
        </c:spPr>
        <c:marker>
          <c:symbol val="none"/>
        </c:marker>
      </c:pivotFmt>
      <c:pivotFmt>
        <c:idx val="2"/>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015369836695485E-2"/>
          <c:y val="0.10416666666666667"/>
          <c:w val="0.94716618635926997"/>
          <c:h val="0.79166666666666663"/>
        </c:manualLayout>
      </c:layout>
      <c:areaChart>
        <c:grouping val="standard"/>
        <c:varyColors val="0"/>
        <c:ser>
          <c:idx val="1"/>
          <c:order val="1"/>
          <c:tx>
            <c:strRef>
              <c:f>Pivot_tables!$U$4</c:f>
              <c:strCache>
                <c:ptCount val="1"/>
                <c:pt idx="0">
                  <c:v>Sum of Paid Fees2</c:v>
                </c:pt>
              </c:strCache>
            </c:strRef>
          </c:tx>
          <c:spPr>
            <a:gradFill>
              <a:gsLst>
                <a:gs pos="0">
                  <a:srgbClr val="F8689F">
                    <a:alpha val="30000"/>
                  </a:srgbClr>
                </a:gs>
                <a:gs pos="64000">
                  <a:srgbClr val="F8689F">
                    <a:alpha val="0"/>
                  </a:srgbClr>
                </a:gs>
              </a:gsLst>
              <a:lin ang="5400000" scaled="1"/>
            </a:gradFill>
            <a:ln>
              <a:noFill/>
            </a:ln>
            <a:effectLst/>
          </c:spPr>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Pivot_tables!$U$5:$U$16</c:f>
              <c:numCache>
                <c:formatCode>General</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extLst>
            <c:ext xmlns:c16="http://schemas.microsoft.com/office/drawing/2014/chart" uri="{C3380CC4-5D6E-409C-BE32-E72D297353CC}">
              <c16:uniqueId val="{00000000-9C52-4D4C-A95B-AA5AC14DB0FA}"/>
            </c:ext>
          </c:extLst>
        </c:ser>
        <c:dLbls>
          <c:showLegendKey val="0"/>
          <c:showVal val="0"/>
          <c:showCatName val="0"/>
          <c:showSerName val="0"/>
          <c:showPercent val="0"/>
          <c:showBubbleSize val="0"/>
        </c:dLbls>
        <c:axId val="646492432"/>
        <c:axId val="646493744"/>
      </c:areaChart>
      <c:lineChart>
        <c:grouping val="standard"/>
        <c:varyColors val="0"/>
        <c:ser>
          <c:idx val="0"/>
          <c:order val="0"/>
          <c:tx>
            <c:strRef>
              <c:f>Pivot_tables!$T$4</c:f>
              <c:strCache>
                <c:ptCount val="1"/>
                <c:pt idx="0">
                  <c:v>Sum of Paid Fees</c:v>
                </c:pt>
              </c:strCache>
            </c:strRef>
          </c:tx>
          <c:spPr>
            <a:ln w="28575" cap="rnd">
              <a:solidFill>
                <a:srgbClr val="8D7EF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Pivot_tables!$T$5:$T$16</c:f>
              <c:numCache>
                <c:formatCode>[&lt;999950]0.0,"K";[&lt;999950000]0.0,,"M";0.0,,,"B"</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smooth val="1"/>
          <c:extLst>
            <c:ext xmlns:c16="http://schemas.microsoft.com/office/drawing/2014/chart" uri="{C3380CC4-5D6E-409C-BE32-E72D297353CC}">
              <c16:uniqueId val="{00000001-9C52-4D4C-A95B-AA5AC14DB0FA}"/>
            </c:ext>
          </c:extLst>
        </c:ser>
        <c:dLbls>
          <c:dLblPos val="t"/>
          <c:showLegendKey val="0"/>
          <c:showVal val="1"/>
          <c:showCatName val="0"/>
          <c:showSerName val="0"/>
          <c:showPercent val="0"/>
          <c:showBubbleSize val="0"/>
        </c:dLbls>
        <c:marker val="1"/>
        <c:smooth val="0"/>
        <c:axId val="646492432"/>
        <c:axId val="646493744"/>
      </c:lineChart>
      <c:catAx>
        <c:axId val="646492432"/>
        <c:scaling>
          <c:orientation val="minMax"/>
        </c:scaling>
        <c:delete val="1"/>
        <c:axPos val="b"/>
        <c:numFmt formatCode="General" sourceLinked="1"/>
        <c:majorTickMark val="none"/>
        <c:minorTickMark val="none"/>
        <c:tickLblPos val="nextTo"/>
        <c:crossAx val="646493744"/>
        <c:crosses val="autoZero"/>
        <c:auto val="1"/>
        <c:lblAlgn val="ctr"/>
        <c:lblOffset val="100"/>
        <c:noMultiLvlLbl val="0"/>
      </c:catAx>
      <c:valAx>
        <c:axId val="646493744"/>
        <c:scaling>
          <c:orientation val="minMax"/>
        </c:scaling>
        <c:delete val="1"/>
        <c:axPos val="l"/>
        <c:numFmt formatCode="General" sourceLinked="1"/>
        <c:majorTickMark val="none"/>
        <c:minorTickMark val="none"/>
        <c:tickLblPos val="nextTo"/>
        <c:crossAx val="64649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1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00B626"/>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rgbClr val="00B626"/>
          </a:solidFill>
          <a:ln w="19050">
            <a:solidFill>
              <a:schemeClr val="lt1"/>
            </a:solidFill>
          </a:ln>
          <a:effectLst/>
        </c:spPr>
      </c:pivotFmt>
      <c:pivotFmt>
        <c:idx val="5"/>
        <c:spPr>
          <a:solidFill>
            <a:schemeClr val="bg1">
              <a:lumMod val="9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rgbClr val="00B626"/>
          </a:solidFill>
          <a:ln w="19050">
            <a:solidFill>
              <a:schemeClr val="lt1"/>
            </a:solidFill>
          </a:ln>
          <a:effectLst/>
        </c:spPr>
      </c:pivotFmt>
      <c:pivotFmt>
        <c:idx val="8"/>
        <c:spPr>
          <a:solidFill>
            <a:schemeClr val="bg1">
              <a:lumMod val="95000"/>
            </a:schemeClr>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rgbClr val="00B626"/>
          </a:solidFill>
          <a:ln w="19050">
            <a:solidFill>
              <a:schemeClr val="lt1"/>
            </a:solidFill>
          </a:ln>
          <a:effectLst/>
        </c:spPr>
      </c:pivotFmt>
      <c:pivotFmt>
        <c:idx val="11"/>
        <c:spPr>
          <a:solidFill>
            <a:schemeClr val="bg1">
              <a:lumMod val="95000"/>
            </a:schemeClr>
          </a:solidFill>
          <a:ln w="19050">
            <a:solidFill>
              <a:schemeClr val="lt1"/>
            </a:solidFill>
          </a:ln>
          <a:effectLst/>
        </c:spPr>
      </c:pivotFmt>
      <c:pivotFmt>
        <c:idx val="12"/>
        <c:marker>
          <c:symbol val="none"/>
        </c:marker>
        <c:dLbl>
          <c:idx val="0"/>
          <c:delete val="1"/>
          <c:extLst>
            <c:ext xmlns:c15="http://schemas.microsoft.com/office/drawing/2012/chart" uri="{CE6537A1-D6FC-4f65-9D91-7224C49458BB}"/>
          </c:extLst>
        </c:dLbl>
      </c:pivotFmt>
      <c:pivotFmt>
        <c:idx val="13"/>
        <c:spPr>
          <a:solidFill>
            <a:srgbClr val="00B626"/>
          </a:solidFill>
          <a:ln w="19050">
            <a:solidFill>
              <a:schemeClr val="lt1"/>
            </a:solidFill>
          </a:ln>
          <a:effectLst/>
        </c:spPr>
      </c:pivotFmt>
      <c:pivotFmt>
        <c:idx val="14"/>
        <c:spPr>
          <a:solidFill>
            <a:schemeClr val="bg1">
              <a:lumMod val="95000"/>
            </a:schemeClr>
          </a:solidFill>
          <a:ln w="19050">
            <a:solidFill>
              <a:schemeClr val="lt1"/>
            </a:solidFill>
          </a:ln>
          <a:effectLst/>
        </c:spPr>
      </c:pivotFmt>
      <c:pivotFmt>
        <c:idx val="15"/>
        <c:marker>
          <c:symbol val="none"/>
        </c:marker>
        <c:dLbl>
          <c:idx val="0"/>
          <c:delete val="1"/>
          <c:extLst>
            <c:ext xmlns:c15="http://schemas.microsoft.com/office/drawing/2012/chart" uri="{CE6537A1-D6FC-4f65-9D91-7224C49458BB}"/>
          </c:extLst>
        </c:dLbl>
      </c:pivotFmt>
      <c:pivotFmt>
        <c:idx val="16"/>
        <c:spPr>
          <a:solidFill>
            <a:srgbClr val="00B626"/>
          </a:solidFill>
          <a:ln w="19050">
            <a:solidFill>
              <a:schemeClr val="lt1"/>
            </a:solidFill>
          </a:ln>
          <a:effectLst/>
        </c:spPr>
      </c:pivotFmt>
      <c:pivotFmt>
        <c:idx val="17"/>
        <c:spPr>
          <a:solidFill>
            <a:schemeClr val="bg1">
              <a:lumMod val="95000"/>
            </a:schemeClr>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6681-4443-8877-2DF74C806506}"/>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6681-4443-8877-2DF74C806506}"/>
              </c:ext>
            </c:extLst>
          </c:dPt>
          <c:cat>
            <c:strRef>
              <c:f>Pivot_tables!$AA$5:$AA$7</c:f>
              <c:strCache>
                <c:ptCount val="2"/>
                <c:pt idx="0">
                  <c:v>Paid</c:v>
                </c:pt>
                <c:pt idx="1">
                  <c:v>Not Paid</c:v>
                </c:pt>
              </c:strCache>
            </c:strRef>
          </c:cat>
          <c:val>
            <c:numRef>
              <c:f>Pivot_tables!$AB$5:$AB$7</c:f>
              <c:numCache>
                <c:formatCode>General</c:formatCode>
                <c:ptCount val="2"/>
                <c:pt idx="0">
                  <c:v>54</c:v>
                </c:pt>
                <c:pt idx="1">
                  <c:v>14</c:v>
                </c:pt>
              </c:numCache>
            </c:numRef>
          </c:val>
          <c:extLst>
            <c:ext xmlns:c16="http://schemas.microsoft.com/office/drawing/2014/chart" uri="{C3380CC4-5D6E-409C-BE32-E72D297353CC}">
              <c16:uniqueId val="{00000004-6681-4443-8877-2DF74C806506}"/>
            </c:ext>
          </c:extLst>
        </c:ser>
        <c:dLbls>
          <c:showLegendKey val="0"/>
          <c:showVal val="0"/>
          <c:showCatName val="0"/>
          <c:showSerName val="0"/>
          <c:showPercent val="0"/>
          <c:showBubbleSize val="0"/>
          <c:showLeaderLines val="1"/>
        </c:dLbls>
        <c:firstSliceAng val="0"/>
        <c:holeSize val="80"/>
      </c:doughnutChart>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F8689F"/>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95000"/>
            </a:schemeClr>
          </a:solidFill>
          <a:ln w="19050">
            <a:solidFill>
              <a:schemeClr val="lt1"/>
            </a:solidFill>
          </a:ln>
          <a:effectLst/>
        </c:spPr>
      </c:pivotFmt>
      <c:pivotFmt>
        <c:idx val="5"/>
        <c:spPr>
          <a:solidFill>
            <a:srgbClr val="F8689F"/>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95000"/>
            </a:schemeClr>
          </a:solidFill>
          <a:ln w="19050">
            <a:solidFill>
              <a:schemeClr val="lt1"/>
            </a:solidFill>
          </a:ln>
          <a:effectLst/>
        </c:spPr>
      </c:pivotFmt>
      <c:pivotFmt>
        <c:idx val="8"/>
        <c:spPr>
          <a:solidFill>
            <a:srgbClr val="F8689F"/>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D4B6-4EA6-9BB7-EB0EB1C6BA6D}"/>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D4B6-4EA6-9BB7-EB0EB1C6BA6D}"/>
              </c:ext>
            </c:extLst>
          </c:dPt>
          <c:cat>
            <c:strRef>
              <c:f>Pivot_tables!$AA$5:$AA$7</c:f>
              <c:strCache>
                <c:ptCount val="2"/>
                <c:pt idx="0">
                  <c:v>Paid</c:v>
                </c:pt>
                <c:pt idx="1">
                  <c:v>Not Paid</c:v>
                </c:pt>
              </c:strCache>
            </c:strRef>
          </c:cat>
          <c:val>
            <c:numRef>
              <c:f>Pivot_tables!$AB$5:$AB$7</c:f>
              <c:numCache>
                <c:formatCode>General</c:formatCode>
                <c:ptCount val="2"/>
                <c:pt idx="0">
                  <c:v>54</c:v>
                </c:pt>
                <c:pt idx="1">
                  <c:v>14</c:v>
                </c:pt>
              </c:numCache>
            </c:numRef>
          </c:val>
          <c:extLst>
            <c:ext xmlns:c16="http://schemas.microsoft.com/office/drawing/2014/chart" uri="{C3380CC4-5D6E-409C-BE32-E72D297353CC}">
              <c16:uniqueId val="{00000004-D4B6-4EA6-9BB7-EB0EB1C6BA6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Data.xlsm]Pivot_tables!monthly_earnings_enrolled</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Pivot_tables!$AJ$4</c:f>
              <c:strCache>
                <c:ptCount val="1"/>
                <c:pt idx="0">
                  <c:v>Total</c:v>
                </c:pt>
              </c:strCache>
            </c:strRef>
          </c:tx>
          <c:spPr>
            <a:ln w="28575" cap="rnd">
              <a:solidFill>
                <a:srgbClr val="8D7EF3"/>
              </a:solidFill>
              <a:round/>
            </a:ln>
            <a:effectLst/>
          </c:spPr>
          <c:marker>
            <c:symbol val="none"/>
          </c:marker>
          <c:cat>
            <c:strRef>
              <c:f>Pivot_tables!$AI$5:$AI$16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Pivot_tables!$AJ$5:$AJ$16</c:f>
              <c:numCache>
                <c:formatCode>General</c:formatCode>
                <c:ptCount val="12"/>
                <c:pt idx="0">
                  <c:v>170</c:v>
                </c:pt>
                <c:pt idx="1">
                  <c:v>162</c:v>
                </c:pt>
                <c:pt idx="2">
                  <c:v>12</c:v>
                </c:pt>
                <c:pt idx="3">
                  <c:v>102</c:v>
                </c:pt>
                <c:pt idx="4">
                  <c:v>174</c:v>
                </c:pt>
                <c:pt idx="5">
                  <c:v>96</c:v>
                </c:pt>
                <c:pt idx="6">
                  <c:v>60</c:v>
                </c:pt>
                <c:pt idx="7">
                  <c:v>189</c:v>
                </c:pt>
                <c:pt idx="8">
                  <c:v>387</c:v>
                </c:pt>
                <c:pt idx="9">
                  <c:v>617</c:v>
                </c:pt>
                <c:pt idx="10">
                  <c:v>468</c:v>
                </c:pt>
                <c:pt idx="11">
                  <c:v>206</c:v>
                </c:pt>
              </c:numCache>
            </c:numRef>
          </c:val>
          <c:smooth val="1"/>
          <c:extLst>
            <c:ext xmlns:c16="http://schemas.microsoft.com/office/drawing/2014/chart" uri="{C3380CC4-5D6E-409C-BE32-E72D297353CC}">
              <c16:uniqueId val="{00000000-2D14-4A57-A17A-1AD94621D7B6}"/>
            </c:ext>
          </c:extLst>
        </c:ser>
        <c:dLbls>
          <c:showLegendKey val="0"/>
          <c:showVal val="0"/>
          <c:showCatName val="0"/>
          <c:showSerName val="0"/>
          <c:showPercent val="0"/>
          <c:showBubbleSize val="0"/>
        </c:dLbls>
        <c:smooth val="0"/>
        <c:axId val="337825696"/>
        <c:axId val="337826024"/>
      </c:lineChart>
      <c:catAx>
        <c:axId val="337825696"/>
        <c:scaling>
          <c:orientation val="minMax"/>
        </c:scaling>
        <c:delete val="1"/>
        <c:axPos val="b"/>
        <c:numFmt formatCode="General" sourceLinked="1"/>
        <c:majorTickMark val="none"/>
        <c:minorTickMark val="none"/>
        <c:tickLblPos val="nextTo"/>
        <c:crossAx val="337826024"/>
        <c:crosses val="autoZero"/>
        <c:auto val="1"/>
        <c:lblAlgn val="ctr"/>
        <c:lblOffset val="100"/>
        <c:noMultiLvlLbl val="0"/>
      </c:catAx>
      <c:valAx>
        <c:axId val="337826024"/>
        <c:scaling>
          <c:orientation val="minMax"/>
        </c:scaling>
        <c:delete val="1"/>
        <c:axPos val="l"/>
        <c:numFmt formatCode="General" sourceLinked="1"/>
        <c:majorTickMark val="none"/>
        <c:minorTickMark val="none"/>
        <c:tickLblPos val="nextTo"/>
        <c:crossAx val="337825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Data.xlsm]Pivot_tables!PivotTable10</c:name>
    <c:fmtId val="16"/>
  </c:pivotSource>
  <c:chart>
    <c:autoTitleDeleted val="1"/>
    <c:pivotFmts>
      <c:pivotFmt>
        <c:idx val="0"/>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filled"/>
        <c:varyColors val="0"/>
        <c:ser>
          <c:idx val="0"/>
          <c:order val="0"/>
          <c:tx>
            <c:strRef>
              <c:f>Pivot_tables!$AR$4</c:f>
              <c:strCache>
                <c:ptCount val="1"/>
                <c:pt idx="0">
                  <c:v>Total</c:v>
                </c:pt>
              </c:strCache>
            </c:strRef>
          </c:tx>
          <c:spPr>
            <a:solidFill>
              <a:srgbClr val="0AEAE0">
                <a:alpha val="10000"/>
              </a:srgbClr>
            </a:solidFill>
            <a:ln>
              <a:solidFill>
                <a:srgbClr val="4958CE"/>
              </a:solidFill>
            </a:ln>
            <a:effectLst/>
          </c:spPr>
          <c:cat>
            <c:strRef>
              <c:f>Pivot_tables!$AQ$5:$AQ$12</c:f>
              <c:strCache>
                <c:ptCount val="8"/>
                <c:pt idx="0">
                  <c:v>A1</c:v>
                </c:pt>
                <c:pt idx="1">
                  <c:v>A2</c:v>
                </c:pt>
                <c:pt idx="2">
                  <c:v>A4</c:v>
                </c:pt>
                <c:pt idx="3">
                  <c:v>A7</c:v>
                </c:pt>
                <c:pt idx="4">
                  <c:v>B12</c:v>
                </c:pt>
                <c:pt idx="5">
                  <c:v>B13</c:v>
                </c:pt>
                <c:pt idx="6">
                  <c:v>B18</c:v>
                </c:pt>
                <c:pt idx="7">
                  <c:v>C8</c:v>
                </c:pt>
              </c:strCache>
            </c:strRef>
          </c:cat>
          <c:val>
            <c:numRef>
              <c:f>Pivot_tables!$AR$5:$AR$12</c:f>
              <c:numCache>
                <c:formatCode>General</c:formatCode>
                <c:ptCount val="8"/>
                <c:pt idx="0">
                  <c:v>14</c:v>
                </c:pt>
                <c:pt idx="1">
                  <c:v>12</c:v>
                </c:pt>
                <c:pt idx="2">
                  <c:v>2</c:v>
                </c:pt>
                <c:pt idx="3">
                  <c:v>6</c:v>
                </c:pt>
                <c:pt idx="4">
                  <c:v>4</c:v>
                </c:pt>
                <c:pt idx="5">
                  <c:v>8</c:v>
                </c:pt>
                <c:pt idx="6">
                  <c:v>10</c:v>
                </c:pt>
                <c:pt idx="7">
                  <c:v>12</c:v>
                </c:pt>
              </c:numCache>
            </c:numRef>
          </c:val>
          <c:extLst>
            <c:ext xmlns:c16="http://schemas.microsoft.com/office/drawing/2014/chart" uri="{C3380CC4-5D6E-409C-BE32-E72D297353CC}">
              <c16:uniqueId val="{00000000-2C64-4926-A4FA-8F3C1AAAB7D4}"/>
            </c:ext>
          </c:extLst>
        </c:ser>
        <c:dLbls>
          <c:showLegendKey val="0"/>
          <c:showVal val="0"/>
          <c:showCatName val="0"/>
          <c:showSerName val="0"/>
          <c:showPercent val="0"/>
          <c:showBubbleSize val="0"/>
        </c:dLbls>
        <c:axId val="551628400"/>
        <c:axId val="551624792"/>
      </c:radarChart>
      <c:catAx>
        <c:axId val="55162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4792"/>
        <c:crosses val="autoZero"/>
        <c:auto val="1"/>
        <c:lblAlgn val="ctr"/>
        <c:lblOffset val="100"/>
        <c:noMultiLvlLbl val="0"/>
      </c:catAx>
      <c:valAx>
        <c:axId val="55162479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1628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Data.xlsm]Pivot_tables!PivotTable11</c:name>
    <c:fmtId val="2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AEAE0"/>
          </a:solidFill>
          <a:ln w="19050">
            <a:solidFill>
              <a:schemeClr val="lt1"/>
            </a:solidFill>
          </a:ln>
          <a:effectLst/>
        </c:spPr>
      </c:pivotFmt>
      <c:pivotFmt>
        <c:idx val="2"/>
        <c:spPr>
          <a:solidFill>
            <a:srgbClr val="4958CE"/>
          </a:solidFill>
          <a:ln w="19050">
            <a:solidFill>
              <a:schemeClr val="lt1"/>
            </a:solidFill>
          </a:ln>
          <a:effectLst/>
        </c:spPr>
      </c:pivotFmt>
      <c:pivotFmt>
        <c:idx val="3"/>
        <c:spPr>
          <a:solidFill>
            <a:srgbClr val="F8689F"/>
          </a:solidFill>
          <a:ln w="19050">
            <a:solidFill>
              <a:schemeClr val="lt1"/>
            </a:solidFill>
          </a:ln>
          <a:effectLst/>
        </c:spPr>
      </c:pivotFmt>
      <c:pivotFmt>
        <c:idx val="4"/>
        <c:spPr>
          <a:solidFill>
            <a:srgbClr val="FED14E"/>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AEAE0"/>
          </a:solidFill>
          <a:ln w="19050">
            <a:solidFill>
              <a:schemeClr val="lt1"/>
            </a:solidFill>
          </a:ln>
          <a:effectLst/>
        </c:spPr>
      </c:pivotFmt>
      <c:pivotFmt>
        <c:idx val="7"/>
        <c:spPr>
          <a:solidFill>
            <a:srgbClr val="F8689F"/>
          </a:solidFill>
          <a:ln w="19050">
            <a:solidFill>
              <a:schemeClr val="lt1"/>
            </a:solidFill>
          </a:ln>
          <a:effectLst/>
        </c:spPr>
      </c:pivotFmt>
      <c:pivotFmt>
        <c:idx val="8"/>
        <c:spPr>
          <a:solidFill>
            <a:srgbClr val="FED14E"/>
          </a:solidFill>
          <a:ln w="19050">
            <a:solidFill>
              <a:schemeClr val="lt1"/>
            </a:solidFill>
          </a:ln>
          <a:effectLst/>
        </c:spPr>
      </c:pivotFmt>
      <c:pivotFmt>
        <c:idx val="9"/>
        <c:spPr>
          <a:solidFill>
            <a:srgbClr val="4958CE"/>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AEAE0"/>
          </a:solidFill>
          <a:ln w="19050">
            <a:solidFill>
              <a:schemeClr val="lt1"/>
            </a:solidFill>
          </a:ln>
          <a:effectLst/>
        </c:spPr>
      </c:pivotFmt>
      <c:pivotFmt>
        <c:idx val="12"/>
        <c:spPr>
          <a:solidFill>
            <a:srgbClr val="F8689F"/>
          </a:solidFill>
          <a:ln w="19050">
            <a:solidFill>
              <a:schemeClr val="lt1"/>
            </a:solidFill>
          </a:ln>
          <a:effectLst/>
        </c:spPr>
      </c:pivotFmt>
      <c:pivotFmt>
        <c:idx val="13"/>
        <c:spPr>
          <a:solidFill>
            <a:srgbClr val="FED14E"/>
          </a:solidFill>
          <a:ln w="19050">
            <a:solidFill>
              <a:schemeClr val="lt1"/>
            </a:solidFill>
          </a:ln>
          <a:effectLst/>
        </c:spPr>
      </c:pivotFmt>
      <c:pivotFmt>
        <c:idx val="14"/>
        <c:spPr>
          <a:solidFill>
            <a:srgbClr val="4958CE"/>
          </a:solidFill>
          <a:ln w="19050">
            <a:solidFill>
              <a:schemeClr val="lt1"/>
            </a:solidFill>
          </a:ln>
          <a:effectLst/>
        </c:spPr>
      </c:pivotFmt>
    </c:pivotFmts>
    <c:plotArea>
      <c:layout/>
      <c:pieChart>
        <c:varyColors val="1"/>
        <c:ser>
          <c:idx val="0"/>
          <c:order val="0"/>
          <c:tx>
            <c:strRef>
              <c:f>Pivot_tables!$AV$4</c:f>
              <c:strCache>
                <c:ptCount val="1"/>
                <c:pt idx="0">
                  <c:v>Total</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01-00F4-466B-8F98-0605DA03F5E9}"/>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00F4-466B-8F98-0605DA03F5E9}"/>
              </c:ext>
            </c:extLst>
          </c:dPt>
          <c:dPt>
            <c:idx val="2"/>
            <c:bubble3D val="0"/>
            <c:spPr>
              <a:solidFill>
                <a:srgbClr val="4958CE"/>
              </a:solidFill>
              <a:ln w="19050">
                <a:solidFill>
                  <a:schemeClr val="lt1"/>
                </a:solidFill>
              </a:ln>
              <a:effectLst/>
            </c:spPr>
            <c:extLst>
              <c:ext xmlns:c16="http://schemas.microsoft.com/office/drawing/2014/chart" uri="{C3380CC4-5D6E-409C-BE32-E72D297353CC}">
                <c16:uniqueId val="{00000005-00F4-466B-8F98-0605DA03F5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F4-466B-8F98-0605DA03F5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Pivot_tables!$AU$5:$AU$7</c:f>
              <c:strCache>
                <c:ptCount val="3"/>
                <c:pt idx="0">
                  <c:v>BE</c:v>
                </c:pt>
                <c:pt idx="1">
                  <c:v>CNI</c:v>
                </c:pt>
                <c:pt idx="2">
                  <c:v>GK</c:v>
                </c:pt>
              </c:strCache>
            </c:strRef>
          </c:cat>
          <c:val>
            <c:numRef>
              <c:f>Pivot_tables!$AV$5:$AV$7</c:f>
              <c:numCache>
                <c:formatCode>[&lt;999950]0.0,"K";[&lt;999950000]0.0,,"M";0.0,,,"B"</c:formatCode>
                <c:ptCount val="3"/>
                <c:pt idx="0">
                  <c:v>228000000</c:v>
                </c:pt>
                <c:pt idx="1">
                  <c:v>80000000</c:v>
                </c:pt>
                <c:pt idx="2">
                  <c:v>676000000</c:v>
                </c:pt>
              </c:numCache>
            </c:numRef>
          </c:val>
          <c:extLst>
            <c:ext xmlns:c16="http://schemas.microsoft.com/office/drawing/2014/chart" uri="{C3380CC4-5D6E-409C-BE32-E72D297353CC}">
              <c16:uniqueId val="{00000008-00F4-466B-8F98-0605DA03F5E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25258223146531639"/>
          <c:y val="0.83216221848986749"/>
          <c:w val="0.49483517099012353"/>
          <c:h val="9.933136363079110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Data.xlsm]Pivot_tables!PivotTable6</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Pivot_tables!$AZ$4</c:f>
              <c:strCache>
                <c:ptCount val="1"/>
                <c:pt idx="0">
                  <c:v>Total</c:v>
                </c:pt>
              </c:strCache>
            </c:strRef>
          </c:tx>
          <c:spPr>
            <a:solidFill>
              <a:srgbClr val="4958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Pivot_tables!$AY$5:$AY$13</c:f>
              <c:strCache>
                <c:ptCount val="9"/>
                <c:pt idx="0">
                  <c:v>Fndn. L1</c:v>
                </c:pt>
                <c:pt idx="1">
                  <c:v>Fndn. L3</c:v>
                </c:pt>
                <c:pt idx="2">
                  <c:v>Fndn. L5</c:v>
                </c:pt>
                <c:pt idx="3">
                  <c:v>Fndn. L6</c:v>
                </c:pt>
                <c:pt idx="4">
                  <c:v>KJI. L4</c:v>
                </c:pt>
                <c:pt idx="5">
                  <c:v>Pre. L2</c:v>
                </c:pt>
                <c:pt idx="6">
                  <c:v>Pre. L3</c:v>
                </c:pt>
                <c:pt idx="7">
                  <c:v>Pre. L4</c:v>
                </c:pt>
                <c:pt idx="8">
                  <c:v>Pre. L8</c:v>
                </c:pt>
              </c:strCache>
            </c:strRef>
          </c:cat>
          <c:val>
            <c:numRef>
              <c:f>Pivot_tables!$AZ$5:$AZ$13</c:f>
              <c:numCache>
                <c:formatCode>[&lt;999950]0.0,"K";[&lt;999950000]0.0,,"M";0.0,,,"B"</c:formatCode>
                <c:ptCount val="9"/>
                <c:pt idx="0">
                  <c:v>24000000</c:v>
                </c:pt>
                <c:pt idx="1">
                  <c:v>110000000</c:v>
                </c:pt>
                <c:pt idx="2">
                  <c:v>304000000</c:v>
                </c:pt>
                <c:pt idx="3">
                  <c:v>14000000</c:v>
                </c:pt>
                <c:pt idx="4">
                  <c:v>78000000</c:v>
                </c:pt>
                <c:pt idx="5">
                  <c:v>216000000</c:v>
                </c:pt>
                <c:pt idx="6">
                  <c:v>106000000</c:v>
                </c:pt>
                <c:pt idx="7">
                  <c:v>22000000</c:v>
                </c:pt>
                <c:pt idx="8">
                  <c:v>110000000</c:v>
                </c:pt>
              </c:numCache>
            </c:numRef>
          </c:val>
          <c:extLst>
            <c:ext xmlns:c16="http://schemas.microsoft.com/office/drawing/2014/chart" uri="{C3380CC4-5D6E-409C-BE32-E72D297353CC}">
              <c16:uniqueId val="{00000000-877A-4973-B437-E58F0573A9B6}"/>
            </c:ext>
          </c:extLst>
        </c:ser>
        <c:dLbls>
          <c:dLblPos val="outEnd"/>
          <c:showLegendKey val="0"/>
          <c:showVal val="1"/>
          <c:showCatName val="0"/>
          <c:showSerName val="0"/>
          <c:showPercent val="0"/>
          <c:showBubbleSize val="0"/>
        </c:dLbls>
        <c:gapWidth val="182"/>
        <c:axId val="532303896"/>
        <c:axId val="532300616"/>
      </c:barChart>
      <c:catAx>
        <c:axId val="532303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32300616"/>
        <c:crosses val="autoZero"/>
        <c:auto val="1"/>
        <c:lblAlgn val="ctr"/>
        <c:lblOffset val="100"/>
        <c:noMultiLvlLbl val="0"/>
      </c:catAx>
      <c:valAx>
        <c:axId val="532300616"/>
        <c:scaling>
          <c:orientation val="minMax"/>
        </c:scaling>
        <c:delete val="1"/>
        <c:axPos val="b"/>
        <c:numFmt formatCode="[&lt;999950]0.0,&quot;K&quot;;[&lt;999950000]0.0,,&quot;M&quot;;0.0,,,&quot;B&quot;" sourceLinked="1"/>
        <c:majorTickMark val="none"/>
        <c:minorTickMark val="none"/>
        <c:tickLblPos val="nextTo"/>
        <c:crossAx val="532303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Data.xlsm]Pivot_tables!PivotTable12</c:name>
    <c:fmtId val="35"/>
  </c:pivotSource>
  <c:chart>
    <c:autoTitleDeleted val="1"/>
    <c:pivotFmts>
      <c:pivotFmt>
        <c:idx val="0"/>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Pivot_tables!$BC$4</c:f>
              <c:strCache>
                <c:ptCount val="1"/>
                <c:pt idx="0">
                  <c:v>Total</c:v>
                </c:pt>
              </c:strCache>
            </c:strRef>
          </c:tx>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cat>
            <c:strRef>
              <c:f>Pivot_tables!$BB$5:$BB$13</c:f>
              <c:strCache>
                <c:ptCount val="9"/>
                <c:pt idx="0">
                  <c:v>Fndn. L1</c:v>
                </c:pt>
                <c:pt idx="1">
                  <c:v>Fndn. L3</c:v>
                </c:pt>
                <c:pt idx="2">
                  <c:v>Fndn. L5</c:v>
                </c:pt>
                <c:pt idx="3">
                  <c:v>Fndn. L6</c:v>
                </c:pt>
                <c:pt idx="4">
                  <c:v>KJI. L4</c:v>
                </c:pt>
                <c:pt idx="5">
                  <c:v>Pre. L2</c:v>
                </c:pt>
                <c:pt idx="6">
                  <c:v>Pre. L3</c:v>
                </c:pt>
                <c:pt idx="7">
                  <c:v>Pre. L4</c:v>
                </c:pt>
                <c:pt idx="8">
                  <c:v>Pre. L8</c:v>
                </c:pt>
              </c:strCache>
            </c:strRef>
          </c:cat>
          <c:val>
            <c:numRef>
              <c:f>Pivot_tables!$BC$5:$BC$13</c:f>
              <c:numCache>
                <c:formatCode>General</c:formatCode>
                <c:ptCount val="9"/>
                <c:pt idx="0">
                  <c:v>4</c:v>
                </c:pt>
                <c:pt idx="1">
                  <c:v>24</c:v>
                </c:pt>
                <c:pt idx="2">
                  <c:v>40</c:v>
                </c:pt>
                <c:pt idx="3">
                  <c:v>2</c:v>
                </c:pt>
                <c:pt idx="4">
                  <c:v>14</c:v>
                </c:pt>
                <c:pt idx="5">
                  <c:v>34</c:v>
                </c:pt>
                <c:pt idx="6">
                  <c:v>22</c:v>
                </c:pt>
                <c:pt idx="7">
                  <c:v>6</c:v>
                </c:pt>
                <c:pt idx="8">
                  <c:v>24</c:v>
                </c:pt>
              </c:numCache>
            </c:numRef>
          </c:val>
          <c:smooth val="0"/>
          <c:extLst>
            <c:ext xmlns:c16="http://schemas.microsoft.com/office/drawing/2014/chart" uri="{C3380CC4-5D6E-409C-BE32-E72D297353CC}">
              <c16:uniqueId val="{00000000-3D91-450A-A851-26572D2AA5BA}"/>
            </c:ext>
          </c:extLst>
        </c:ser>
        <c:dLbls>
          <c:showLegendKey val="0"/>
          <c:showVal val="0"/>
          <c:showCatName val="0"/>
          <c:showSerName val="0"/>
          <c:showPercent val="0"/>
          <c:showBubbleSize val="0"/>
        </c:dLbls>
        <c:marker val="1"/>
        <c:smooth val="0"/>
        <c:axId val="610842968"/>
        <c:axId val="610724824"/>
      </c:lineChart>
      <c:catAx>
        <c:axId val="6108429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724824"/>
        <c:crosses val="autoZero"/>
        <c:auto val="1"/>
        <c:lblAlgn val="ctr"/>
        <c:lblOffset val="100"/>
        <c:noMultiLvlLbl val="0"/>
      </c:catAx>
      <c:valAx>
        <c:axId val="610724824"/>
        <c:scaling>
          <c:orientation val="minMax"/>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610842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Pivot_tables!$BQ$4</c:f>
              <c:strCache>
                <c:ptCount val="1"/>
                <c:pt idx="0">
                  <c:v>Duration</c:v>
                </c:pt>
              </c:strCache>
            </c:strRef>
          </c:tx>
          <c:spPr>
            <a:ln w="28575" cap="rnd">
              <a:noFill/>
              <a:round/>
            </a:ln>
            <a:effectLst/>
          </c:spPr>
          <c:marker>
            <c:symbol val="circle"/>
            <c:size val="8"/>
            <c:spPr>
              <a:solidFill>
                <a:srgbClr val="4958CE"/>
              </a:solidFill>
              <a:ln w="9525">
                <a:solidFill>
                  <a:schemeClr val="accent1"/>
                </a:solidFill>
              </a:ln>
              <a:effectLst/>
            </c:spPr>
          </c:marker>
          <c:val>
            <c:numRef>
              <c:f>Pivot_tables!$BQ$5:$BQ$16</c:f>
              <c:numCache>
                <c:formatCode>mm:ss</c:formatCode>
                <c:ptCount val="12"/>
                <c:pt idx="0">
                  <c:v>3.0161179698216726E-3</c:v>
                </c:pt>
                <c:pt idx="1">
                  <c:v>2.8763440860215049E-3</c:v>
                </c:pt>
                <c:pt idx="2">
                  <c:v>1.3888888888888889E-3</c:v>
                </c:pt>
                <c:pt idx="3">
                  <c:v>3.497540509259258E-3</c:v>
                </c:pt>
                <c:pt idx="4">
                  <c:v>3.0488351254480289E-3</c:v>
                </c:pt>
                <c:pt idx="5">
                  <c:v>2.9208002645502639E-3</c:v>
                </c:pt>
                <c:pt idx="6">
                  <c:v>2.9407051282051289E-3</c:v>
                </c:pt>
                <c:pt idx="7">
                  <c:v>3.0726650563607082E-3</c:v>
                </c:pt>
                <c:pt idx="8">
                  <c:v>3.1521213377556649E-3</c:v>
                </c:pt>
                <c:pt idx="9">
                  <c:v>3.276282366437237E-3</c:v>
                </c:pt>
                <c:pt idx="10">
                  <c:v>3.120971050164087E-3</c:v>
                </c:pt>
                <c:pt idx="11">
                  <c:v>3.2518257694314021E-3</c:v>
                </c:pt>
              </c:numCache>
            </c:numRef>
          </c:val>
          <c:smooth val="0"/>
          <c:extLst>
            <c:ext xmlns:c16="http://schemas.microsoft.com/office/drawing/2014/chart" uri="{C3380CC4-5D6E-409C-BE32-E72D297353CC}">
              <c16:uniqueId val="{00000000-5879-4EE7-B420-9F826E40388F}"/>
            </c:ext>
          </c:extLst>
        </c:ser>
        <c:ser>
          <c:idx val="1"/>
          <c:order val="1"/>
          <c:tx>
            <c:strRef>
              <c:f>Pivot_tables!$BR$4</c:f>
              <c:strCache>
                <c:ptCount val="1"/>
                <c:pt idx="0">
                  <c:v>Max</c:v>
                </c:pt>
              </c:strCache>
            </c:strRef>
          </c:tx>
          <c:spPr>
            <a:ln w="25400" cap="rnd">
              <a:noFill/>
              <a:round/>
            </a:ln>
            <a:effectLst/>
          </c:spPr>
          <c:marker>
            <c:symbol val="circle"/>
            <c:size val="10"/>
            <c:spPr>
              <a:solidFill>
                <a:srgbClr val="FF0000"/>
              </a:solidFill>
              <a:ln w="9525">
                <a:noFill/>
              </a:ln>
              <a:effectLst/>
            </c:spPr>
          </c:marker>
          <c:val>
            <c:numRef>
              <c:f>Pivot_tables!$BR$5:$BR$16</c:f>
              <c:numCache>
                <c:formatCode>mm:ss</c:formatCode>
                <c:ptCount val="12"/>
                <c:pt idx="0">
                  <c:v>0</c:v>
                </c:pt>
                <c:pt idx="1">
                  <c:v>0</c:v>
                </c:pt>
                <c:pt idx="2">
                  <c:v>0</c:v>
                </c:pt>
                <c:pt idx="3">
                  <c:v>3.497540509259258E-3</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879-4EE7-B420-9F826E40388F}"/>
            </c:ext>
          </c:extLst>
        </c:ser>
        <c:ser>
          <c:idx val="2"/>
          <c:order val="2"/>
          <c:tx>
            <c:strRef>
              <c:f>Pivot_tables!$BS$4</c:f>
              <c:strCache>
                <c:ptCount val="1"/>
                <c:pt idx="0">
                  <c:v>Min</c:v>
                </c:pt>
              </c:strCache>
            </c:strRef>
          </c:tx>
          <c:spPr>
            <a:ln w="25400" cap="rnd">
              <a:noFill/>
              <a:round/>
            </a:ln>
            <a:effectLst/>
          </c:spPr>
          <c:marker>
            <c:symbol val="circle"/>
            <c:size val="10"/>
            <c:spPr>
              <a:solidFill>
                <a:srgbClr val="00B626"/>
              </a:solidFill>
              <a:ln w="9525">
                <a:solidFill>
                  <a:schemeClr val="accent3"/>
                </a:solidFill>
              </a:ln>
              <a:effectLst/>
            </c:spPr>
          </c:marker>
          <c:val>
            <c:numRef>
              <c:f>Pivot_tables!$BS$5:$BS$16</c:f>
              <c:numCache>
                <c:formatCode>mm:ss</c:formatCode>
                <c:ptCount val="12"/>
                <c:pt idx="0">
                  <c:v>0</c:v>
                </c:pt>
                <c:pt idx="1">
                  <c:v>0</c:v>
                </c:pt>
                <c:pt idx="2">
                  <c:v>1.3888888888888889E-3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5879-4EE7-B420-9F826E40388F}"/>
            </c:ext>
          </c:extLst>
        </c:ser>
        <c:dLbls>
          <c:showLegendKey val="0"/>
          <c:showVal val="0"/>
          <c:showCatName val="0"/>
          <c:showSerName val="0"/>
          <c:showPercent val="0"/>
          <c:showBubbleSize val="0"/>
        </c:dLbls>
        <c:marker val="1"/>
        <c:smooth val="0"/>
        <c:axId val="680044184"/>
        <c:axId val="680043856"/>
      </c:lineChart>
      <c:catAx>
        <c:axId val="680044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3856"/>
        <c:crosses val="autoZero"/>
        <c:auto val="1"/>
        <c:lblAlgn val="ctr"/>
        <c:lblOffset val="100"/>
        <c:noMultiLvlLbl val="0"/>
      </c:catAx>
      <c:valAx>
        <c:axId val="680043856"/>
        <c:scaling>
          <c:orientation val="minMax"/>
        </c:scaling>
        <c:delete val="0"/>
        <c:axPos val="l"/>
        <c:majorGridlines>
          <c:spPr>
            <a:ln w="9525" cap="flat" cmpd="sng" algn="ctr">
              <a:solidFill>
                <a:schemeClr val="bg1">
                  <a:lumMod val="95000"/>
                </a:schemeClr>
              </a:solidFill>
              <a:round/>
            </a:ln>
            <a:effectLst/>
          </c:spPr>
        </c:majorGridlines>
        <c:numFmt formatCode="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4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Data.xlsm]Pivot_tables!avg_paid</c:name>
    <c:fmtId val="3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2"/>
        <c:spPr>
          <a:solidFill>
            <a:srgbClr val="00B626"/>
          </a:solidFill>
          <a:ln>
            <a:noFill/>
          </a:ln>
          <a:effectLst/>
        </c:spPr>
      </c:pivotFmt>
      <c:pivotFmt>
        <c:idx val="3"/>
        <c:spPr>
          <a:solidFill>
            <a:srgbClr val="FED14E"/>
          </a:solidFill>
          <a:ln>
            <a:noFill/>
          </a:ln>
          <a:effectLst/>
        </c:spPr>
      </c:pivotFmt>
      <c:pivotFmt>
        <c:idx val="4"/>
        <c:spPr>
          <a:solidFill>
            <a:srgbClr val="F8689F"/>
          </a:solidFill>
          <a:ln>
            <a:noFill/>
          </a:ln>
          <a:effectLst/>
        </c:spPr>
      </c:pivotFmt>
      <c:pivotFmt>
        <c:idx val="5"/>
        <c:spPr>
          <a:solidFill>
            <a:srgbClr val="4958CE"/>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626"/>
          </a:solidFill>
          <a:ln>
            <a:noFill/>
          </a:ln>
          <a:effectLst/>
        </c:spPr>
      </c:pivotFmt>
      <c:pivotFmt>
        <c:idx val="8"/>
        <c:spPr>
          <a:solidFill>
            <a:srgbClr val="FED14E"/>
          </a:solidFill>
          <a:ln>
            <a:noFill/>
          </a:ln>
          <a:effectLst/>
        </c:spPr>
      </c:pivotFmt>
      <c:pivotFmt>
        <c:idx val="9"/>
        <c:spPr>
          <a:solidFill>
            <a:srgbClr val="F8689F"/>
          </a:solidFill>
          <a:ln>
            <a:noFill/>
          </a:ln>
          <a:effectLst/>
        </c:spPr>
      </c:pivotFmt>
      <c:pivotFmt>
        <c:idx val="10"/>
        <c:spPr>
          <a:solidFill>
            <a:srgbClr val="4958CE"/>
          </a:solidFill>
          <a:ln>
            <a:noFill/>
          </a:ln>
          <a:effectLst/>
        </c:spPr>
      </c:pivotFmt>
      <c:pivotFmt>
        <c:idx val="1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626"/>
          </a:solidFill>
          <a:ln>
            <a:noFill/>
          </a:ln>
          <a:effectLst/>
        </c:spPr>
      </c:pivotFmt>
      <c:pivotFmt>
        <c:idx val="14"/>
        <c:spPr>
          <a:solidFill>
            <a:srgbClr val="FED14E"/>
          </a:solidFill>
          <a:ln>
            <a:noFill/>
          </a:ln>
          <a:effectLst/>
        </c:spPr>
      </c:pivotFmt>
      <c:pivotFmt>
        <c:idx val="15"/>
        <c:spPr>
          <a:solidFill>
            <a:srgbClr val="F8689F"/>
          </a:solidFill>
          <a:ln>
            <a:noFill/>
          </a:ln>
          <a:effectLst/>
        </c:spPr>
      </c:pivotFmt>
      <c:pivotFmt>
        <c:idx val="16"/>
        <c:spPr>
          <a:solidFill>
            <a:srgbClr val="4958CE"/>
          </a:solidFill>
          <a:ln>
            <a:noFill/>
          </a:ln>
          <a:effectLst/>
        </c:spPr>
      </c:pivotFmt>
      <c:pivotFmt>
        <c:idx val="1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Pivot_tables!$BZ$4</c:f>
              <c:strCache>
                <c:ptCount val="1"/>
                <c:pt idx="0">
                  <c:v>Sum of Paid Fees</c:v>
                </c:pt>
              </c:strCache>
            </c:strRef>
          </c:tx>
          <c:spPr>
            <a:solidFill>
              <a:schemeClr val="accent1"/>
            </a:solidFill>
            <a:ln>
              <a:noFill/>
            </a:ln>
            <a:effectLst/>
          </c:spPr>
          <c:invertIfNegative val="0"/>
          <c:dPt>
            <c:idx val="0"/>
            <c:invertIfNegative val="0"/>
            <c:bubble3D val="0"/>
            <c:spPr>
              <a:solidFill>
                <a:srgbClr val="00B626"/>
              </a:solidFill>
              <a:ln>
                <a:noFill/>
              </a:ln>
              <a:effectLst/>
            </c:spPr>
            <c:extLst>
              <c:ext xmlns:c16="http://schemas.microsoft.com/office/drawing/2014/chart" uri="{C3380CC4-5D6E-409C-BE32-E72D297353CC}">
                <c16:uniqueId val="{00000001-1094-4330-80C4-CE0A14C33A25}"/>
              </c:ext>
            </c:extLst>
          </c:dPt>
          <c:dPt>
            <c:idx val="1"/>
            <c:invertIfNegative val="0"/>
            <c:bubble3D val="0"/>
            <c:spPr>
              <a:solidFill>
                <a:srgbClr val="FED14E"/>
              </a:solidFill>
              <a:ln>
                <a:noFill/>
              </a:ln>
              <a:effectLst/>
            </c:spPr>
            <c:extLst>
              <c:ext xmlns:c16="http://schemas.microsoft.com/office/drawing/2014/chart" uri="{C3380CC4-5D6E-409C-BE32-E72D297353CC}">
                <c16:uniqueId val="{00000003-1094-4330-80C4-CE0A14C33A25}"/>
              </c:ext>
            </c:extLst>
          </c:dPt>
          <c:dPt>
            <c:idx val="2"/>
            <c:invertIfNegative val="0"/>
            <c:bubble3D val="0"/>
            <c:spPr>
              <a:solidFill>
                <a:srgbClr val="F8689F"/>
              </a:solidFill>
              <a:ln>
                <a:noFill/>
              </a:ln>
              <a:effectLst/>
            </c:spPr>
            <c:extLst>
              <c:ext xmlns:c16="http://schemas.microsoft.com/office/drawing/2014/chart" uri="{C3380CC4-5D6E-409C-BE32-E72D297353CC}">
                <c16:uniqueId val="{00000005-1094-4330-80C4-CE0A14C33A25}"/>
              </c:ext>
            </c:extLst>
          </c:dPt>
          <c:dPt>
            <c:idx val="3"/>
            <c:invertIfNegative val="0"/>
            <c:bubble3D val="0"/>
            <c:spPr>
              <a:solidFill>
                <a:srgbClr val="4958CE"/>
              </a:solidFill>
              <a:ln>
                <a:noFill/>
              </a:ln>
              <a:effectLst/>
            </c:spPr>
            <c:extLst>
              <c:ext xmlns:c16="http://schemas.microsoft.com/office/drawing/2014/chart" uri="{C3380CC4-5D6E-409C-BE32-E72D297353CC}">
                <c16:uniqueId val="{00000007-1094-4330-80C4-CE0A14C33A25}"/>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Pivot_tables!$BZ$5:$BZ$8</c:f>
              <c:numCache>
                <c:formatCode>[&lt;999950]0.0,"K";[&lt;999950000]0.0,,"M";0.0,,,"B"</c:formatCode>
                <c:ptCount val="4"/>
                <c:pt idx="0">
                  <c:v>272000000</c:v>
                </c:pt>
                <c:pt idx="1">
                  <c:v>176000000</c:v>
                </c:pt>
                <c:pt idx="2">
                  <c:v>418000000</c:v>
                </c:pt>
                <c:pt idx="3">
                  <c:v>118000000</c:v>
                </c:pt>
              </c:numCache>
            </c:numRef>
          </c:val>
          <c:extLst>
            <c:ext xmlns:c16="http://schemas.microsoft.com/office/drawing/2014/chart" uri="{C3380CC4-5D6E-409C-BE32-E72D297353CC}">
              <c16:uniqueId val="{00000008-1094-4330-80C4-CE0A14C33A25}"/>
            </c:ext>
          </c:extLst>
        </c:ser>
        <c:ser>
          <c:idx val="1"/>
          <c:order val="1"/>
          <c:tx>
            <c:strRef>
              <c:f>Pivot_tables!$CA$4</c:f>
              <c:strCache>
                <c:ptCount val="1"/>
                <c:pt idx="0">
                  <c:v>Sum of Paid Fees2</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Pivot_tables!$CA$5:$CA$8</c:f>
              <c:numCache>
                <c:formatCode>General</c:formatCode>
                <c:ptCount val="4"/>
                <c:pt idx="0">
                  <c:v>272000000</c:v>
                </c:pt>
                <c:pt idx="1">
                  <c:v>176000000</c:v>
                </c:pt>
                <c:pt idx="2">
                  <c:v>418000000</c:v>
                </c:pt>
                <c:pt idx="3">
                  <c:v>118000000</c:v>
                </c:pt>
              </c:numCache>
            </c:numRef>
          </c:val>
          <c:extLst>
            <c:ext xmlns:c16="http://schemas.microsoft.com/office/drawing/2014/chart" uri="{C3380CC4-5D6E-409C-BE32-E72D297353CC}">
              <c16:uniqueId val="{00000009-1094-4330-80C4-CE0A14C33A25}"/>
            </c:ext>
          </c:extLst>
        </c:ser>
        <c:dLbls>
          <c:showLegendKey val="0"/>
          <c:showVal val="0"/>
          <c:showCatName val="0"/>
          <c:showSerName val="0"/>
          <c:showPercent val="0"/>
          <c:showBubbleSize val="0"/>
        </c:dLbls>
        <c:gapWidth val="182"/>
        <c:overlap val="-47"/>
        <c:axId val="668711232"/>
        <c:axId val="668715496"/>
      </c:barChart>
      <c:catAx>
        <c:axId val="668711232"/>
        <c:scaling>
          <c:orientation val="minMax"/>
        </c:scaling>
        <c:delete val="1"/>
        <c:axPos val="l"/>
        <c:numFmt formatCode="General" sourceLinked="1"/>
        <c:majorTickMark val="none"/>
        <c:minorTickMark val="none"/>
        <c:tickLblPos val="nextTo"/>
        <c:crossAx val="668715496"/>
        <c:crosses val="autoZero"/>
        <c:auto val="1"/>
        <c:lblAlgn val="ctr"/>
        <c:lblOffset val="100"/>
        <c:noMultiLvlLbl val="0"/>
      </c:catAx>
      <c:valAx>
        <c:axId val="668715496"/>
        <c:scaling>
          <c:orientation val="minMax"/>
        </c:scaling>
        <c:delete val="1"/>
        <c:axPos val="b"/>
        <c:numFmt formatCode="[&lt;999950]0.0,&quot;K&quot;;[&lt;999950000]0.0,,&quot;M&quot;;0.0,,,&quot;B&quot;" sourceLinked="1"/>
        <c:majorTickMark val="none"/>
        <c:minorTickMark val="none"/>
        <c:tickLblPos val="nextTo"/>
        <c:crossAx val="66871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Data.xlsm]Pivot_tables!PivotTable17</c:name>
    <c:fmtId val="42"/>
  </c:pivotSource>
  <c:chart>
    <c:autoTitleDeleted val="1"/>
    <c:pivotFmts>
      <c:pivotFmt>
        <c:idx val="0"/>
        <c:spPr>
          <a:solidFill>
            <a:srgbClr val="4958CE"/>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rgbClr val="4958CE"/>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3.0474106743755166E-2"/>
          <c:y val="8.168320015716854E-2"/>
          <c:w val="0.93598932399206647"/>
          <c:h val="0.65459466539123157"/>
        </c:manualLayout>
      </c:layout>
      <c:barChart>
        <c:barDir val="col"/>
        <c:grouping val="clustered"/>
        <c:varyColors val="0"/>
        <c:ser>
          <c:idx val="0"/>
          <c:order val="0"/>
          <c:tx>
            <c:strRef>
              <c:f>Pivot_tables!$CK$4</c:f>
              <c:strCache>
                <c:ptCount val="1"/>
                <c:pt idx="0">
                  <c:v>Total</c:v>
                </c:pt>
              </c:strCache>
            </c:strRef>
          </c:tx>
          <c:spPr>
            <a:solidFill>
              <a:srgbClr val="4958CE"/>
            </a:solidFill>
            <a:ln>
              <a:noFill/>
            </a:ln>
            <a:effectLst/>
          </c:spPr>
          <c:invertIfNegative val="0"/>
          <c:dLbls>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Pivot_tables!$CJ$5:$CJ$15</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Pivot_tables!$CK$5:$CK$15</c:f>
              <c:numCache>
                <c:formatCode>[&lt;999950]0.0,"K";[&lt;999950000]0.0,,"M";0.0,,,"B"</c:formatCode>
                <c:ptCount val="11"/>
                <c:pt idx="0">
                  <c:v>24000000</c:v>
                </c:pt>
                <c:pt idx="1">
                  <c:v>70000000</c:v>
                </c:pt>
                <c:pt idx="2">
                  <c:v>222000000</c:v>
                </c:pt>
                <c:pt idx="3">
                  <c:v>22000000</c:v>
                </c:pt>
                <c:pt idx="4">
                  <c:v>48000000</c:v>
                </c:pt>
                <c:pt idx="5">
                  <c:v>50000000</c:v>
                </c:pt>
                <c:pt idx="6">
                  <c:v>88000000</c:v>
                </c:pt>
                <c:pt idx="7">
                  <c:v>132000000</c:v>
                </c:pt>
                <c:pt idx="8">
                  <c:v>94000000</c:v>
                </c:pt>
                <c:pt idx="9">
                  <c:v>150000000</c:v>
                </c:pt>
                <c:pt idx="10">
                  <c:v>84000000</c:v>
                </c:pt>
              </c:numCache>
            </c:numRef>
          </c:val>
          <c:extLst>
            <c:ext xmlns:c16="http://schemas.microsoft.com/office/drawing/2014/chart" uri="{C3380CC4-5D6E-409C-BE32-E72D297353CC}">
              <c16:uniqueId val="{00000000-A2CC-499B-A766-E7F06D30912B}"/>
            </c:ext>
          </c:extLst>
        </c:ser>
        <c:dLbls>
          <c:showLegendKey val="0"/>
          <c:showVal val="1"/>
          <c:showCatName val="0"/>
          <c:showSerName val="0"/>
          <c:showPercent val="0"/>
          <c:showBubbleSize val="0"/>
        </c:dLbls>
        <c:gapWidth val="108"/>
        <c:overlap val="-27"/>
        <c:axId val="585699776"/>
        <c:axId val="585701416"/>
      </c:barChart>
      <c:catAx>
        <c:axId val="5856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85701416"/>
        <c:crosses val="autoZero"/>
        <c:auto val="1"/>
        <c:lblAlgn val="ctr"/>
        <c:lblOffset val="100"/>
        <c:noMultiLvlLbl val="0"/>
      </c:catAx>
      <c:valAx>
        <c:axId val="585701416"/>
        <c:scaling>
          <c:orientation val="minMax"/>
        </c:scaling>
        <c:delete val="1"/>
        <c:axPos val="l"/>
        <c:numFmt formatCode="[&lt;999950]0.0,&quot;K&quot;;[&lt;999950000]0.0,,&quot;M&quot;;0.0,,,&quot;B&quot;" sourceLinked="1"/>
        <c:majorTickMark val="none"/>
        <c:minorTickMark val="none"/>
        <c:tickLblPos val="nextTo"/>
        <c:crossAx val="58569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Pivot_tables!$CR$5</c:f>
              <c:strCache>
                <c:ptCount val="1"/>
                <c:pt idx="0">
                  <c:v>Company Website</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51B7-47D0-BF9C-F52AAF859E8A}"/>
              </c:ext>
            </c:extLst>
          </c:dPt>
          <c:cat>
            <c:strRef>
              <c:f>Pivot_tables!$CQ$6:$CQ$7</c:f>
              <c:strCache>
                <c:ptCount val="2"/>
                <c:pt idx="0">
                  <c:v>Actual</c:v>
                </c:pt>
                <c:pt idx="1">
                  <c:v>Difference</c:v>
                </c:pt>
              </c:strCache>
            </c:strRef>
          </c:cat>
          <c:val>
            <c:numRef>
              <c:f>Pivot_tables!$CR$6:$CR$7</c:f>
              <c:numCache>
                <c:formatCode>[&lt;999950]0.0,"K";[&lt;999950000]0.0,,"M";0.0,,,"B"</c:formatCode>
                <c:ptCount val="2"/>
                <c:pt idx="0">
                  <c:v>100000000</c:v>
                </c:pt>
                <c:pt idx="1">
                  <c:v>1234000000</c:v>
                </c:pt>
              </c:numCache>
            </c:numRef>
          </c:val>
          <c:extLst>
            <c:ext xmlns:c16="http://schemas.microsoft.com/office/drawing/2014/chart" uri="{C3380CC4-5D6E-409C-BE32-E72D297353CC}">
              <c16:uniqueId val="{00000004-51B7-47D0-BF9C-F52AAF859E8A}"/>
            </c:ext>
          </c:extLst>
        </c:ser>
        <c:ser>
          <c:idx val="1"/>
          <c:order val="1"/>
          <c:tx>
            <c:strRef>
              <c:f>Pivot_tables!$CS$5</c:f>
              <c:strCache>
                <c:ptCount val="1"/>
                <c:pt idx="0">
                  <c:v>Facebook Page</c:v>
                </c:pt>
              </c:strCache>
            </c:strRef>
          </c:tx>
          <c:dPt>
            <c:idx val="0"/>
            <c:bubble3D val="0"/>
            <c:spPr>
              <a:solidFill>
                <a:srgbClr val="FED14E"/>
              </a:solidFill>
              <a:ln w="19050">
                <a:solidFill>
                  <a:schemeClr val="lt1"/>
                </a:solidFill>
              </a:ln>
              <a:effectLst/>
            </c:spPr>
            <c:extLst>
              <c:ext xmlns:c16="http://schemas.microsoft.com/office/drawing/2014/chart" uri="{C3380CC4-5D6E-409C-BE32-E72D297353CC}">
                <c16:uniqueId val="{00000006-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8-51B7-47D0-BF9C-F52AAF859E8A}"/>
              </c:ext>
            </c:extLst>
          </c:dPt>
          <c:cat>
            <c:strRef>
              <c:f>Pivot_tables!$CQ$6:$CQ$7</c:f>
              <c:strCache>
                <c:ptCount val="2"/>
                <c:pt idx="0">
                  <c:v>Actual</c:v>
                </c:pt>
                <c:pt idx="1">
                  <c:v>Difference</c:v>
                </c:pt>
              </c:strCache>
            </c:strRef>
          </c:cat>
          <c:val>
            <c:numRef>
              <c:f>Pivot_tables!$CS$6:$CS$7</c:f>
              <c:numCache>
                <c:formatCode>[&lt;999950]0.0,"K";[&lt;999950000]0.0,,"M";0.0,,,"B"</c:formatCode>
                <c:ptCount val="2"/>
                <c:pt idx="0">
                  <c:v>334000000</c:v>
                </c:pt>
                <c:pt idx="1">
                  <c:v>1000000000</c:v>
                </c:pt>
              </c:numCache>
            </c:numRef>
          </c:val>
          <c:extLst>
            <c:ext xmlns:c16="http://schemas.microsoft.com/office/drawing/2014/chart" uri="{C3380CC4-5D6E-409C-BE32-E72D297353CC}">
              <c16:uniqueId val="{00000009-51B7-47D0-BF9C-F52AAF859E8A}"/>
            </c:ext>
          </c:extLst>
        </c:ser>
        <c:ser>
          <c:idx val="2"/>
          <c:order val="2"/>
          <c:tx>
            <c:strRef>
              <c:f>Pivot_tables!$CT$5</c:f>
              <c:strCache>
                <c:ptCount val="1"/>
                <c:pt idx="0">
                  <c:v>Google Ad</c:v>
                </c:pt>
              </c:strCache>
            </c:strRef>
          </c:tx>
          <c:dPt>
            <c:idx val="0"/>
            <c:bubble3D val="0"/>
            <c:spPr>
              <a:solidFill>
                <a:srgbClr val="F8689F"/>
              </a:solidFill>
              <a:ln w="19050">
                <a:solidFill>
                  <a:schemeClr val="lt1"/>
                </a:solidFill>
              </a:ln>
              <a:effectLst/>
            </c:spPr>
            <c:extLst>
              <c:ext xmlns:c16="http://schemas.microsoft.com/office/drawing/2014/chart" uri="{C3380CC4-5D6E-409C-BE32-E72D297353CC}">
                <c16:uniqueId val="{0000000B-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D-51B7-47D0-BF9C-F52AAF859E8A}"/>
              </c:ext>
            </c:extLst>
          </c:dPt>
          <c:cat>
            <c:strRef>
              <c:f>Pivot_tables!$CQ$6:$CQ$7</c:f>
              <c:strCache>
                <c:ptCount val="2"/>
                <c:pt idx="0">
                  <c:v>Actual</c:v>
                </c:pt>
                <c:pt idx="1">
                  <c:v>Difference</c:v>
                </c:pt>
              </c:strCache>
            </c:strRef>
          </c:cat>
          <c:val>
            <c:numRef>
              <c:f>Pivot_tables!$CT$6:$CT$7</c:f>
              <c:numCache>
                <c:formatCode>[&lt;999950]0.0,"K";[&lt;999950000]0.0,,"M";0.0,,,"B"</c:formatCode>
                <c:ptCount val="2"/>
                <c:pt idx="0">
                  <c:v>188000000</c:v>
                </c:pt>
                <c:pt idx="1">
                  <c:v>1146000000</c:v>
                </c:pt>
              </c:numCache>
            </c:numRef>
          </c:val>
          <c:extLst>
            <c:ext xmlns:c16="http://schemas.microsoft.com/office/drawing/2014/chart" uri="{C3380CC4-5D6E-409C-BE32-E72D297353CC}">
              <c16:uniqueId val="{0000000E-51B7-47D0-BF9C-F52AAF859E8A}"/>
            </c:ext>
          </c:extLst>
        </c:ser>
        <c:ser>
          <c:idx val="3"/>
          <c:order val="3"/>
          <c:tx>
            <c:strRef>
              <c:f>Pivot_tables!$CU$5</c:f>
              <c:strCache>
                <c:ptCount val="1"/>
                <c:pt idx="0">
                  <c:v>Television Ad</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10-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2-51B7-47D0-BF9C-F52AAF859E8A}"/>
              </c:ext>
            </c:extLst>
          </c:dPt>
          <c:cat>
            <c:strRef>
              <c:f>Pivot_tables!$CQ$6:$CQ$7</c:f>
              <c:strCache>
                <c:ptCount val="2"/>
                <c:pt idx="0">
                  <c:v>Actual</c:v>
                </c:pt>
                <c:pt idx="1">
                  <c:v>Difference</c:v>
                </c:pt>
              </c:strCache>
            </c:strRef>
          </c:cat>
          <c:val>
            <c:numRef>
              <c:f>Pivot_tables!$CU$6:$CU$7</c:f>
              <c:numCache>
                <c:formatCode>[&lt;999950]0.0,"K";[&lt;999950000]0.0,,"M";0.0,,,"B"</c:formatCode>
                <c:ptCount val="2"/>
                <c:pt idx="0">
                  <c:v>202000000</c:v>
                </c:pt>
                <c:pt idx="1">
                  <c:v>1132000000</c:v>
                </c:pt>
              </c:numCache>
            </c:numRef>
          </c:val>
          <c:extLst>
            <c:ext xmlns:c16="http://schemas.microsoft.com/office/drawing/2014/chart" uri="{C3380CC4-5D6E-409C-BE32-E72D297353CC}">
              <c16:uniqueId val="{00000013-51B7-47D0-BF9C-F52AAF859E8A}"/>
            </c:ext>
          </c:extLst>
        </c:ser>
        <c:ser>
          <c:idx val="4"/>
          <c:order val="4"/>
          <c:tx>
            <c:strRef>
              <c:f>Pivot_tables!$CV$5</c:f>
              <c:strCache>
                <c:ptCount val="1"/>
                <c:pt idx="0">
                  <c:v>WhatsApp</c:v>
                </c:pt>
              </c:strCache>
            </c:strRef>
          </c:tx>
          <c:dPt>
            <c:idx val="0"/>
            <c:bubble3D val="0"/>
            <c:spPr>
              <a:solidFill>
                <a:srgbClr val="4958CE"/>
              </a:solidFill>
              <a:ln w="19050">
                <a:solidFill>
                  <a:schemeClr val="lt1"/>
                </a:solidFill>
              </a:ln>
              <a:effectLst/>
            </c:spPr>
            <c:extLst>
              <c:ext xmlns:c16="http://schemas.microsoft.com/office/drawing/2014/chart" uri="{C3380CC4-5D6E-409C-BE32-E72D297353CC}">
                <c16:uniqueId val="{00000015-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7-51B7-47D0-BF9C-F52AAF859E8A}"/>
              </c:ext>
            </c:extLst>
          </c:dPt>
          <c:cat>
            <c:strRef>
              <c:f>Pivot_tables!$CQ$6:$CQ$7</c:f>
              <c:strCache>
                <c:ptCount val="2"/>
                <c:pt idx="0">
                  <c:v>Actual</c:v>
                </c:pt>
                <c:pt idx="1">
                  <c:v>Difference</c:v>
                </c:pt>
              </c:strCache>
            </c:strRef>
          </c:cat>
          <c:val>
            <c:numRef>
              <c:f>Pivot_tables!$CV$6:$CV$7</c:f>
              <c:numCache>
                <c:formatCode>[&lt;999950]0.0,"K";[&lt;999950000]0.0,,"M";0.0,,,"B"</c:formatCode>
                <c:ptCount val="2"/>
                <c:pt idx="0">
                  <c:v>160000000</c:v>
                </c:pt>
                <c:pt idx="1">
                  <c:v>1174000000</c:v>
                </c:pt>
              </c:numCache>
            </c:numRef>
          </c:val>
          <c:extLst>
            <c:ext xmlns:c16="http://schemas.microsoft.com/office/drawing/2014/chart" uri="{C3380CC4-5D6E-409C-BE32-E72D297353CC}">
              <c16:uniqueId val="{00000018-51B7-47D0-BF9C-F52AAF859E8A}"/>
            </c:ext>
          </c:extLst>
        </c:ser>
        <c:ser>
          <c:idx val="5"/>
          <c:order val="5"/>
          <c:tx>
            <c:strRef>
              <c:f>Pivot_tables!$CW$5</c:f>
              <c:strCache>
                <c:ptCount val="1"/>
                <c:pt idx="0">
                  <c:v>0</c:v>
                </c:pt>
              </c:strCache>
            </c:strRef>
          </c:tx>
          <c:dPt>
            <c:idx val="0"/>
            <c:bubble3D val="0"/>
            <c:spPr>
              <a:solidFill>
                <a:srgbClr val="8D7EF3"/>
              </a:solidFill>
              <a:ln w="19050">
                <a:solidFill>
                  <a:schemeClr val="lt1"/>
                </a:solidFill>
              </a:ln>
              <a:effectLst/>
            </c:spPr>
            <c:extLst>
              <c:ext xmlns:c16="http://schemas.microsoft.com/office/drawing/2014/chart" uri="{C3380CC4-5D6E-409C-BE32-E72D297353CC}">
                <c16:uniqueId val="{0000001A-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C-51B7-47D0-BF9C-F52AAF859E8A}"/>
              </c:ext>
            </c:extLst>
          </c:dPt>
          <c:cat>
            <c:strRef>
              <c:f>Pivot_tables!$CQ$6:$CQ$7</c:f>
              <c:strCache>
                <c:ptCount val="2"/>
                <c:pt idx="0">
                  <c:v>Actual</c:v>
                </c:pt>
                <c:pt idx="1">
                  <c:v>Difference</c:v>
                </c:pt>
              </c:strCache>
            </c:strRef>
          </c:cat>
          <c:val>
            <c:numRef>
              <c:f>Pivot_tables!$CW$6:$CW$7</c:f>
              <c:numCache>
                <c:formatCode>[&lt;999950]0.0,"K";[&lt;999950000]0.0,,"M";0.0,,,"B"</c:formatCode>
                <c:ptCount val="2"/>
                <c:pt idx="0">
                  <c:v>0</c:v>
                </c:pt>
                <c:pt idx="1">
                  <c:v>0</c:v>
                </c:pt>
              </c:numCache>
            </c:numRef>
          </c:val>
          <c:extLst>
            <c:ext xmlns:c16="http://schemas.microsoft.com/office/drawing/2014/chart" uri="{C3380CC4-5D6E-409C-BE32-E72D297353CC}">
              <c16:uniqueId val="{0000001D-51B7-47D0-BF9C-F52AAF859E8A}"/>
            </c:ext>
          </c:extLst>
        </c:ser>
        <c:dLbls>
          <c:showLegendKey val="0"/>
          <c:showVal val="0"/>
          <c:showCatName val="0"/>
          <c:showSerName val="0"/>
          <c:showPercent val="0"/>
          <c:showBubbleSize val="0"/>
          <c:showLeaderLines val="1"/>
        </c:dLbls>
        <c:firstSliceAng val="18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Data.xlsm]Pivot_tables!Adv_monthly</c:name>
    <c:fmtId val="4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0AEAE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A13F9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F8689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4958C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Pivot_tables!$DD$4:$DD$5</c:f>
              <c:strCache>
                <c:ptCount val="1"/>
                <c:pt idx="0">
                  <c:v>AD01-9361</c:v>
                </c:pt>
              </c:strCache>
            </c:strRef>
          </c:tx>
          <c:spPr>
            <a:ln w="28575" cap="rnd">
              <a:solidFill>
                <a:srgbClr val="0AEAE0"/>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Pivot_tables!$DD$6:$DD$17</c:f>
              <c:numCache>
                <c:formatCode>[&lt;999950]0.0,"K";[&lt;999950000]0.0,,"M";0.0,,,"B"</c:formatCode>
                <c:ptCount val="12"/>
                <c:pt idx="0">
                  <c:v>262000000</c:v>
                </c:pt>
                <c:pt idx="1">
                  <c:v>306000000</c:v>
                </c:pt>
                <c:pt idx="2">
                  <c:v>0</c:v>
                </c:pt>
                <c:pt idx="3">
                  <c:v>144000000</c:v>
                </c:pt>
                <c:pt idx="4">
                  <c:v>294000000</c:v>
                </c:pt>
                <c:pt idx="5">
                  <c:v>212000000</c:v>
                </c:pt>
                <c:pt idx="6">
                  <c:v>180000000</c:v>
                </c:pt>
                <c:pt idx="7">
                  <c:v>372000000</c:v>
                </c:pt>
                <c:pt idx="8">
                  <c:v>652000000</c:v>
                </c:pt>
                <c:pt idx="9">
                  <c:v>1179000000</c:v>
                </c:pt>
                <c:pt idx="10">
                  <c:v>789000000</c:v>
                </c:pt>
                <c:pt idx="11">
                  <c:v>445000000</c:v>
                </c:pt>
              </c:numCache>
            </c:numRef>
          </c:val>
          <c:smooth val="0"/>
          <c:extLst>
            <c:ext xmlns:c16="http://schemas.microsoft.com/office/drawing/2014/chart" uri="{C3380CC4-5D6E-409C-BE32-E72D297353CC}">
              <c16:uniqueId val="{00000000-0868-4C60-89D6-9022F05AA639}"/>
            </c:ext>
          </c:extLst>
        </c:ser>
        <c:ser>
          <c:idx val="1"/>
          <c:order val="1"/>
          <c:tx>
            <c:strRef>
              <c:f>Pivot_tables!$DE$4:$DE$5</c:f>
              <c:strCache>
                <c:ptCount val="1"/>
                <c:pt idx="0">
                  <c:v>AD01-9362</c:v>
                </c:pt>
              </c:strCache>
            </c:strRef>
          </c:tx>
          <c:spPr>
            <a:ln w="28575" cap="rnd">
              <a:solidFill>
                <a:srgbClr val="A13F9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Pivot_tables!$DE$6:$DE$17</c:f>
              <c:numCache>
                <c:formatCode>[&lt;999950]0.0,"K";[&lt;999950000]0.0,,"M";0.0,,,"B"</c:formatCode>
                <c:ptCount val="12"/>
                <c:pt idx="0">
                  <c:v>472000000</c:v>
                </c:pt>
                <c:pt idx="1">
                  <c:v>408000000</c:v>
                </c:pt>
                <c:pt idx="2">
                  <c:v>116000000</c:v>
                </c:pt>
                <c:pt idx="3">
                  <c:v>264000000</c:v>
                </c:pt>
                <c:pt idx="4">
                  <c:v>546000000</c:v>
                </c:pt>
                <c:pt idx="5">
                  <c:v>146000000</c:v>
                </c:pt>
                <c:pt idx="6">
                  <c:v>262000000</c:v>
                </c:pt>
                <c:pt idx="7">
                  <c:v>443000000</c:v>
                </c:pt>
                <c:pt idx="8">
                  <c:v>858000000</c:v>
                </c:pt>
                <c:pt idx="9">
                  <c:v>1448000000</c:v>
                </c:pt>
                <c:pt idx="10">
                  <c:v>1078000000</c:v>
                </c:pt>
                <c:pt idx="11">
                  <c:v>444000000</c:v>
                </c:pt>
              </c:numCache>
            </c:numRef>
          </c:val>
          <c:smooth val="0"/>
          <c:extLst>
            <c:ext xmlns:c16="http://schemas.microsoft.com/office/drawing/2014/chart" uri="{C3380CC4-5D6E-409C-BE32-E72D297353CC}">
              <c16:uniqueId val="{00000001-0868-4C60-89D6-9022F05AA639}"/>
            </c:ext>
          </c:extLst>
        </c:ser>
        <c:ser>
          <c:idx val="2"/>
          <c:order val="2"/>
          <c:tx>
            <c:strRef>
              <c:f>Pivot_tables!$DF$4:$DF$5</c:f>
              <c:strCache>
                <c:ptCount val="1"/>
                <c:pt idx="0">
                  <c:v>AD01-9363</c:v>
                </c:pt>
              </c:strCache>
            </c:strRef>
          </c:tx>
          <c:spPr>
            <a:ln w="28575" cap="rnd">
              <a:solidFill>
                <a:srgbClr val="F8689F"/>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Pivot_tables!$DF$6:$DF$17</c:f>
              <c:numCache>
                <c:formatCode>[&lt;999950]0.0,"K";[&lt;999950000]0.0,,"M";0.0,,,"B"</c:formatCode>
                <c:ptCount val="12"/>
                <c:pt idx="0">
                  <c:v>0</c:v>
                </c:pt>
                <c:pt idx="1">
                  <c:v>48000000</c:v>
                </c:pt>
                <c:pt idx="3">
                  <c:v>24000000</c:v>
                </c:pt>
                <c:pt idx="4">
                  <c:v>68000000</c:v>
                </c:pt>
                <c:pt idx="5">
                  <c:v>24000000</c:v>
                </c:pt>
                <c:pt idx="7">
                  <c:v>38000000</c:v>
                </c:pt>
                <c:pt idx="8">
                  <c:v>142000000</c:v>
                </c:pt>
                <c:pt idx="9">
                  <c:v>242000000</c:v>
                </c:pt>
                <c:pt idx="10">
                  <c:v>239000000</c:v>
                </c:pt>
                <c:pt idx="11">
                  <c:v>75000000</c:v>
                </c:pt>
              </c:numCache>
            </c:numRef>
          </c:val>
          <c:smooth val="0"/>
          <c:extLst>
            <c:ext xmlns:c16="http://schemas.microsoft.com/office/drawing/2014/chart" uri="{C3380CC4-5D6E-409C-BE32-E72D297353CC}">
              <c16:uniqueId val="{00000002-0868-4C60-89D6-9022F05AA639}"/>
            </c:ext>
          </c:extLst>
        </c:ser>
        <c:ser>
          <c:idx val="3"/>
          <c:order val="3"/>
          <c:tx>
            <c:strRef>
              <c:f>Pivot_tables!$DG$4:$DG$5</c:f>
              <c:strCache>
                <c:ptCount val="1"/>
                <c:pt idx="0">
                  <c:v>AD01-9364</c:v>
                </c:pt>
              </c:strCache>
            </c:strRef>
          </c:tx>
          <c:spPr>
            <a:ln w="28575" cap="rnd">
              <a:solidFill>
                <a:schemeClr val="accent4"/>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Pivot_tables!$DG$6:$DG$17</c:f>
              <c:numCache>
                <c:formatCode>[&lt;999950]0.0,"K";[&lt;999950000]0.0,,"M";0.0,,,"B"</c:formatCode>
                <c:ptCount val="12"/>
                <c:pt idx="0">
                  <c:v>190000000</c:v>
                </c:pt>
                <c:pt idx="1">
                  <c:v>248000000</c:v>
                </c:pt>
                <c:pt idx="2">
                  <c:v>0</c:v>
                </c:pt>
                <c:pt idx="3">
                  <c:v>82000000</c:v>
                </c:pt>
                <c:pt idx="4">
                  <c:v>226000000</c:v>
                </c:pt>
                <c:pt idx="5">
                  <c:v>130000000</c:v>
                </c:pt>
                <c:pt idx="6">
                  <c:v>0</c:v>
                </c:pt>
                <c:pt idx="7">
                  <c:v>225000000</c:v>
                </c:pt>
                <c:pt idx="8">
                  <c:v>413000000</c:v>
                </c:pt>
                <c:pt idx="9">
                  <c:v>752000000</c:v>
                </c:pt>
                <c:pt idx="10">
                  <c:v>545000000</c:v>
                </c:pt>
                <c:pt idx="11">
                  <c:v>200000000</c:v>
                </c:pt>
              </c:numCache>
            </c:numRef>
          </c:val>
          <c:smooth val="0"/>
          <c:extLst>
            <c:ext xmlns:c16="http://schemas.microsoft.com/office/drawing/2014/chart" uri="{C3380CC4-5D6E-409C-BE32-E72D297353CC}">
              <c16:uniqueId val="{00000003-0868-4C60-89D6-9022F05AA639}"/>
            </c:ext>
          </c:extLst>
        </c:ser>
        <c:ser>
          <c:idx val="4"/>
          <c:order val="4"/>
          <c:tx>
            <c:strRef>
              <c:f>Pivot_tables!$DH$4:$DH$5</c:f>
              <c:strCache>
                <c:ptCount val="1"/>
                <c:pt idx="0">
                  <c:v>AD01-9365</c:v>
                </c:pt>
              </c:strCache>
            </c:strRef>
          </c:tx>
          <c:spPr>
            <a:ln w="28575" cap="rnd">
              <a:solidFill>
                <a:srgbClr val="4958C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Pivot_tables!$DH$6:$DH$17</c:f>
              <c:numCache>
                <c:formatCode>[&lt;999950]0.0,"K";[&lt;999950000]0.0,,"M";0.0,,,"B"</c:formatCode>
                <c:ptCount val="12"/>
                <c:pt idx="0">
                  <c:v>60000000</c:v>
                </c:pt>
                <c:pt idx="1">
                  <c:v>30000000</c:v>
                </c:pt>
                <c:pt idx="2">
                  <c:v>0</c:v>
                </c:pt>
                <c:pt idx="3">
                  <c:v>24000000</c:v>
                </c:pt>
                <c:pt idx="4">
                  <c:v>24000000</c:v>
                </c:pt>
                <c:pt idx="5">
                  <c:v>0</c:v>
                </c:pt>
                <c:pt idx="7">
                  <c:v>74000000</c:v>
                </c:pt>
                <c:pt idx="8">
                  <c:v>113000000</c:v>
                </c:pt>
                <c:pt idx="9">
                  <c:v>188000000</c:v>
                </c:pt>
                <c:pt idx="10">
                  <c:v>163000000</c:v>
                </c:pt>
                <c:pt idx="11">
                  <c:v>83000000</c:v>
                </c:pt>
              </c:numCache>
            </c:numRef>
          </c:val>
          <c:smooth val="0"/>
          <c:extLst>
            <c:ext xmlns:c16="http://schemas.microsoft.com/office/drawing/2014/chart" uri="{C3380CC4-5D6E-409C-BE32-E72D297353CC}">
              <c16:uniqueId val="{00000004-0868-4C60-89D6-9022F05AA639}"/>
            </c:ext>
          </c:extLst>
        </c:ser>
        <c:dLbls>
          <c:showLegendKey val="0"/>
          <c:showVal val="0"/>
          <c:showCatName val="0"/>
          <c:showSerName val="0"/>
          <c:showPercent val="0"/>
          <c:showBubbleSize val="0"/>
        </c:dLbls>
        <c:smooth val="0"/>
        <c:axId val="690221344"/>
        <c:axId val="690222328"/>
      </c:lineChart>
      <c:catAx>
        <c:axId val="69022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2328"/>
        <c:crosses val="autoZero"/>
        <c:auto val="1"/>
        <c:lblAlgn val="ctr"/>
        <c:lblOffset val="100"/>
        <c:noMultiLvlLbl val="0"/>
      </c:catAx>
      <c:valAx>
        <c:axId val="690222328"/>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Data.xlsm]Pivot_tables!adv_chanels</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Pivot_tables!$DL$4</c:f>
              <c:strCache>
                <c:ptCount val="1"/>
                <c:pt idx="0">
                  <c:v>Total</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Pivot_tables!$DK$5:$DK$8</c:f>
              <c:multiLvlStrCache>
                <c:ptCount val="3"/>
                <c:lvl>
                  <c:pt idx="0">
                    <c:v>BE</c:v>
                  </c:pt>
                  <c:pt idx="1">
                    <c:v>CNI</c:v>
                  </c:pt>
                  <c:pt idx="2">
                    <c:v>GK</c:v>
                  </c:pt>
                </c:lvl>
                <c:lvl>
                  <c:pt idx="0">
                    <c:v>Beyablo</c:v>
                  </c:pt>
                </c:lvl>
              </c:multiLvlStrCache>
            </c:multiLvlStrRef>
          </c:cat>
          <c:val>
            <c:numRef>
              <c:f>Pivot_tables!$DL$5:$DL$8</c:f>
              <c:numCache>
                <c:formatCode>[&lt;999950]0.0,"K";[&lt;999950000]0.0,,"M";0.0,,,"B"</c:formatCode>
                <c:ptCount val="3"/>
                <c:pt idx="0">
                  <c:v>152000000</c:v>
                </c:pt>
                <c:pt idx="1">
                  <c:v>40000000</c:v>
                </c:pt>
                <c:pt idx="2">
                  <c:v>80000000</c:v>
                </c:pt>
              </c:numCache>
            </c:numRef>
          </c:val>
          <c:extLst>
            <c:ext xmlns:c16="http://schemas.microsoft.com/office/drawing/2014/chart" uri="{C3380CC4-5D6E-409C-BE32-E72D297353CC}">
              <c16:uniqueId val="{00000002-0866-4CD2-9611-8B5A18807E67}"/>
            </c:ext>
          </c:extLst>
        </c:ser>
        <c:dLbls>
          <c:dLblPos val="outEnd"/>
          <c:showLegendKey val="0"/>
          <c:showVal val="1"/>
          <c:showCatName val="0"/>
          <c:showSerName val="0"/>
          <c:showPercent val="0"/>
          <c:showBubbleSize val="0"/>
        </c:dLbls>
        <c:gapWidth val="450"/>
        <c:overlap val="-27"/>
        <c:axId val="414623888"/>
        <c:axId val="414624216"/>
      </c:barChart>
      <c:catAx>
        <c:axId val="41462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24216"/>
        <c:crosses val="autoZero"/>
        <c:auto val="1"/>
        <c:lblAlgn val="ctr"/>
        <c:lblOffset val="100"/>
        <c:noMultiLvlLbl val="0"/>
      </c:catAx>
      <c:valAx>
        <c:axId val="414624216"/>
        <c:scaling>
          <c:orientation val="minMax"/>
        </c:scaling>
        <c:delete val="1"/>
        <c:axPos val="l"/>
        <c:numFmt formatCode="[&lt;999950]0.0,&quot;K&quot;;[&lt;999950000]0.0,,&quot;M&quot;;0.0,,,&quot;B&quot;" sourceLinked="1"/>
        <c:majorTickMark val="none"/>
        <c:minorTickMark val="none"/>
        <c:tickLblPos val="nextTo"/>
        <c:crossAx val="414623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Data.xlsm]Pivot_tables!PivotTable21</c:name>
    <c:fmtId val="52"/>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noFill/>
            <a:round/>
          </a:ln>
          <a:effectLst/>
        </c:spPr>
        <c:marker>
          <c:symbol val="square"/>
          <c:size val="7"/>
          <c:spPr>
            <a:solidFill>
              <a:srgbClr val="F8689F"/>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noFill/>
            <a:round/>
          </a:ln>
          <a:effectLst/>
        </c:spPr>
        <c:marker>
          <c:symbol val="triangle"/>
          <c:size val="8"/>
          <c:spPr>
            <a:solidFill>
              <a:schemeClr val="accent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5400" cap="rnd">
            <a:noFill/>
            <a:round/>
          </a:ln>
          <a:effectLst/>
        </c:spPr>
        <c:marker>
          <c:symbol val="circle"/>
          <c:size val="8"/>
          <c:spPr>
            <a:solidFill>
              <a:srgbClr val="4958CE">
                <a:alpha val="67000"/>
              </a:srgb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Pivot_tables!$DQ$4:$DQ$5</c:f>
              <c:strCache>
                <c:ptCount val="1"/>
                <c:pt idx="0">
                  <c:v>BE</c:v>
                </c:pt>
              </c:strCache>
            </c:strRef>
          </c:tx>
          <c:spPr>
            <a:ln w="28575" cap="rnd">
              <a:noFill/>
              <a:round/>
            </a:ln>
            <a:effectLst/>
          </c:spPr>
          <c:marker>
            <c:symbol val="square"/>
            <c:size val="7"/>
            <c:spPr>
              <a:solidFill>
                <a:srgbClr val="F8689F"/>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Pivot_tables!$DQ$6:$DQ$16</c:f>
              <c:numCache>
                <c:formatCode>[&lt;999950]0.0,"K";[&lt;999950000]0.0,,"M";0.0,,,"B"</c:formatCode>
                <c:ptCount val="11"/>
                <c:pt idx="2">
                  <c:v>152000000</c:v>
                </c:pt>
                <c:pt idx="9">
                  <c:v>76000000</c:v>
                </c:pt>
              </c:numCache>
            </c:numRef>
          </c:val>
          <c:smooth val="0"/>
          <c:extLst>
            <c:ext xmlns:c16="http://schemas.microsoft.com/office/drawing/2014/chart" uri="{C3380CC4-5D6E-409C-BE32-E72D297353CC}">
              <c16:uniqueId val="{00000000-923E-4797-9F83-18CC5DDE9F98}"/>
            </c:ext>
          </c:extLst>
        </c:ser>
        <c:ser>
          <c:idx val="1"/>
          <c:order val="1"/>
          <c:tx>
            <c:strRef>
              <c:f>Pivot_tables!$DR$4:$DR$5</c:f>
              <c:strCache>
                <c:ptCount val="1"/>
                <c:pt idx="0">
                  <c:v>CNI</c:v>
                </c:pt>
              </c:strCache>
            </c:strRef>
          </c:tx>
          <c:spPr>
            <a:ln w="28575" cap="rnd">
              <a:noFill/>
              <a:round/>
            </a:ln>
            <a:effectLst/>
          </c:spPr>
          <c:marker>
            <c:symbol val="triangle"/>
            <c:size val="8"/>
            <c:spPr>
              <a:solidFill>
                <a:schemeClr val="accent4"/>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Pivot_tables!$DR$6:$DR$16</c:f>
              <c:numCache>
                <c:formatCode>[&lt;999950]0.0,"K";[&lt;999950000]0.0,,"M";0.0,,,"B"</c:formatCode>
                <c:ptCount val="11"/>
                <c:pt idx="2">
                  <c:v>40000000</c:v>
                </c:pt>
                <c:pt idx="10">
                  <c:v>40000000</c:v>
                </c:pt>
              </c:numCache>
            </c:numRef>
          </c:val>
          <c:smooth val="0"/>
          <c:extLst>
            <c:ext xmlns:c16="http://schemas.microsoft.com/office/drawing/2014/chart" uri="{C3380CC4-5D6E-409C-BE32-E72D297353CC}">
              <c16:uniqueId val="{00000001-923E-4797-9F83-18CC5DDE9F98}"/>
            </c:ext>
          </c:extLst>
        </c:ser>
        <c:ser>
          <c:idx val="2"/>
          <c:order val="2"/>
          <c:tx>
            <c:strRef>
              <c:f>Pivot_tables!$DS$4:$DS$5</c:f>
              <c:strCache>
                <c:ptCount val="1"/>
                <c:pt idx="0">
                  <c:v>GK</c:v>
                </c:pt>
              </c:strCache>
            </c:strRef>
          </c:tx>
          <c:spPr>
            <a:ln w="25400" cap="rnd">
              <a:noFill/>
              <a:round/>
            </a:ln>
            <a:effectLst/>
          </c:spPr>
          <c:marker>
            <c:symbol val="circle"/>
            <c:size val="8"/>
            <c:spPr>
              <a:solidFill>
                <a:srgbClr val="4958CE">
                  <a:alpha val="67000"/>
                </a:srgbClr>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Pivot_tables!$DS$6:$DS$16</c:f>
              <c:numCache>
                <c:formatCode>[&lt;999950]0.0,"K";[&lt;999950000]0.0,,"M";0.0,,,"B"</c:formatCode>
                <c:ptCount val="11"/>
                <c:pt idx="0">
                  <c:v>24000000</c:v>
                </c:pt>
                <c:pt idx="1">
                  <c:v>70000000</c:v>
                </c:pt>
                <c:pt idx="2">
                  <c:v>30000000</c:v>
                </c:pt>
                <c:pt idx="3">
                  <c:v>22000000</c:v>
                </c:pt>
                <c:pt idx="4">
                  <c:v>48000000</c:v>
                </c:pt>
                <c:pt idx="5">
                  <c:v>50000000</c:v>
                </c:pt>
                <c:pt idx="6">
                  <c:v>88000000</c:v>
                </c:pt>
                <c:pt idx="7">
                  <c:v>132000000</c:v>
                </c:pt>
                <c:pt idx="8">
                  <c:v>94000000</c:v>
                </c:pt>
                <c:pt idx="9">
                  <c:v>74000000</c:v>
                </c:pt>
                <c:pt idx="10">
                  <c:v>44000000</c:v>
                </c:pt>
              </c:numCache>
            </c:numRef>
          </c:val>
          <c:smooth val="0"/>
          <c:extLst>
            <c:ext xmlns:c16="http://schemas.microsoft.com/office/drawing/2014/chart" uri="{C3380CC4-5D6E-409C-BE32-E72D297353CC}">
              <c16:uniqueId val="{00000003-B8AC-419D-A1AF-5E42E86F56AB}"/>
            </c:ext>
          </c:extLst>
        </c:ser>
        <c:dLbls>
          <c:showLegendKey val="0"/>
          <c:showVal val="0"/>
          <c:showCatName val="0"/>
          <c:showSerName val="0"/>
          <c:showPercent val="0"/>
          <c:showBubbleSize val="0"/>
        </c:dLbls>
        <c:marker val="1"/>
        <c:smooth val="0"/>
        <c:axId val="246830376"/>
        <c:axId val="246831032"/>
      </c:lineChart>
      <c:catAx>
        <c:axId val="246830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1032"/>
        <c:crosses val="autoZero"/>
        <c:auto val="1"/>
        <c:lblAlgn val="ctr"/>
        <c:lblOffset val="100"/>
        <c:noMultiLvlLbl val="0"/>
      </c:catAx>
      <c:valAx>
        <c:axId val="246831032"/>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0376"/>
        <c:crosses val="autoZero"/>
        <c:crossBetween val="between"/>
      </c:valAx>
      <c:spPr>
        <a:noFill/>
        <a:ln>
          <a:noFill/>
        </a:ln>
        <a:effectLst/>
      </c:spPr>
    </c:plotArea>
    <c:legend>
      <c:legendPos val="b"/>
      <c:layout>
        <c:manualLayout>
          <c:xMode val="edge"/>
          <c:yMode val="edge"/>
          <c:x val="0.515401200465328"/>
          <c:y val="0.85081449818058941"/>
          <c:w val="0.2080529221633842"/>
          <c:h val="0.11005508043304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B2"/></Relationships>
</file>

<file path=xl/drawings/_rels/drawing2.xml.rels><?xml version="1.0" encoding="UTF-8" standalone="yes"?>
<Relationships xmlns="http://schemas.openxmlformats.org/package/2006/relationships"><Relationship Id="rId8" Type="http://schemas.openxmlformats.org/officeDocument/2006/relationships/hyperlink" Target="#Database!C1"/><Relationship Id="rId13" Type="http://schemas.openxmlformats.org/officeDocument/2006/relationships/chart" Target="../charts/chart8.xml"/><Relationship Id="rId18" Type="http://schemas.openxmlformats.org/officeDocument/2006/relationships/image" Target="../media/image6.svg"/><Relationship Id="rId26" Type="http://schemas.openxmlformats.org/officeDocument/2006/relationships/image" Target="../media/image9.png"/><Relationship Id="rId3" Type="http://schemas.openxmlformats.org/officeDocument/2006/relationships/image" Target="../media/image2.png"/><Relationship Id="rId21" Type="http://schemas.openxmlformats.org/officeDocument/2006/relationships/image" Target="../media/image7.png"/><Relationship Id="rId7" Type="http://schemas.openxmlformats.org/officeDocument/2006/relationships/chart" Target="../charts/chart3.xml"/><Relationship Id="rId12" Type="http://schemas.openxmlformats.org/officeDocument/2006/relationships/chart" Target="../charts/chart7.xml"/><Relationship Id="rId17" Type="http://schemas.openxmlformats.org/officeDocument/2006/relationships/image" Target="../media/image5.png"/><Relationship Id="rId25" Type="http://schemas.openxmlformats.org/officeDocument/2006/relationships/chart" Target="../charts/chart15.xml"/><Relationship Id="rId2" Type="http://schemas.openxmlformats.org/officeDocument/2006/relationships/hyperlink" Target="https://www.publicdomainpictures.net/view-image.php?image=37261&amp;picture=pound-sign-black" TargetMode="External"/><Relationship Id="rId16" Type="http://schemas.openxmlformats.org/officeDocument/2006/relationships/chart" Target="../charts/chart10.xml"/><Relationship Id="rId20" Type="http://schemas.openxmlformats.org/officeDocument/2006/relationships/chart" Target="../charts/chart12.xml"/><Relationship Id="rId1" Type="http://schemas.openxmlformats.org/officeDocument/2006/relationships/image" Target="../media/image1.jpeg"/><Relationship Id="rId6" Type="http://schemas.openxmlformats.org/officeDocument/2006/relationships/chart" Target="../charts/chart2.xml"/><Relationship Id="rId11" Type="http://schemas.openxmlformats.org/officeDocument/2006/relationships/chart" Target="../charts/chart6.xml"/><Relationship Id="rId24" Type="http://schemas.openxmlformats.org/officeDocument/2006/relationships/chart" Target="../charts/chart14.xml"/><Relationship Id="rId5" Type="http://schemas.openxmlformats.org/officeDocument/2006/relationships/chart" Target="../charts/chart1.xml"/><Relationship Id="rId15" Type="http://schemas.openxmlformats.org/officeDocument/2006/relationships/chart" Target="../charts/chart9.xml"/><Relationship Id="rId23" Type="http://schemas.openxmlformats.org/officeDocument/2006/relationships/chart" Target="../charts/chart13.xml"/><Relationship Id="rId10" Type="http://schemas.openxmlformats.org/officeDocument/2006/relationships/chart" Target="../charts/chart5.xml"/><Relationship Id="rId19" Type="http://schemas.openxmlformats.org/officeDocument/2006/relationships/chart" Target="../charts/chart11.xml"/><Relationship Id="rId4" Type="http://schemas.openxmlformats.org/officeDocument/2006/relationships/image" Target="../media/image3.svg"/><Relationship Id="rId9" Type="http://schemas.openxmlformats.org/officeDocument/2006/relationships/chart" Target="../charts/chart4.xml"/><Relationship Id="rId14" Type="http://schemas.openxmlformats.org/officeDocument/2006/relationships/image" Target="../media/image4.png"/><Relationship Id="rId22" Type="http://schemas.openxmlformats.org/officeDocument/2006/relationships/image" Target="../media/image8.svg"/><Relationship Id="rId27"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14</xdr:col>
      <xdr:colOff>563883</xdr:colOff>
      <xdr:row>0</xdr:row>
      <xdr:rowOff>237780</xdr:rowOff>
    </xdr:from>
    <xdr:to>
      <xdr:col>15</xdr:col>
      <xdr:colOff>297183</xdr:colOff>
      <xdr:row>1</xdr:row>
      <xdr:rowOff>108240</xdr:rowOff>
    </xdr:to>
    <xdr:sp macro="" textlink="">
      <xdr:nvSpPr>
        <xdr:cNvPr id="5" name="Rectangle 4">
          <a:extLst>
            <a:ext uri="{FF2B5EF4-FFF2-40B4-BE49-F238E27FC236}">
              <a16:creationId xmlns:a16="http://schemas.microsoft.com/office/drawing/2014/main" id="{15A1A3F6-FD1A-442E-9916-DE7F93DE5FBA}"/>
            </a:ext>
          </a:extLst>
        </xdr:cNvPr>
        <xdr:cNvSpPr/>
      </xdr:nvSpPr>
      <xdr:spPr>
        <a:xfrm rot="2282052">
          <a:off x="13586463" y="237780"/>
          <a:ext cx="670560" cy="289560"/>
        </a:xfrm>
        <a:prstGeom prst="rect">
          <a:avLst/>
        </a:prstGeom>
        <a:solidFill>
          <a:srgbClr val="A13F9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320042</xdr:colOff>
      <xdr:row>0</xdr:row>
      <xdr:rowOff>9180</xdr:rowOff>
    </xdr:from>
    <xdr:to>
      <xdr:col>1</xdr:col>
      <xdr:colOff>190502</xdr:colOff>
      <xdr:row>1</xdr:row>
      <xdr:rowOff>260640</xdr:rowOff>
    </xdr:to>
    <xdr:sp macro="" textlink="">
      <xdr:nvSpPr>
        <xdr:cNvPr id="4" name="Rectangle 3">
          <a:extLst>
            <a:ext uri="{FF2B5EF4-FFF2-40B4-BE49-F238E27FC236}">
              <a16:creationId xmlns:a16="http://schemas.microsoft.com/office/drawing/2014/main" id="{9BF07EEB-D370-4D96-B949-747D8018BAEA}"/>
            </a:ext>
          </a:extLst>
        </xdr:cNvPr>
        <xdr:cNvSpPr/>
      </xdr:nvSpPr>
      <xdr:spPr>
        <a:xfrm rot="18765574">
          <a:off x="129542" y="199680"/>
          <a:ext cx="670560" cy="289560"/>
        </a:xfrm>
        <a:prstGeom prst="rect">
          <a:avLst/>
        </a:prstGeom>
        <a:solidFill>
          <a:srgbClr val="4958C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0</xdr:row>
      <xdr:rowOff>0</xdr:rowOff>
    </xdr:from>
    <xdr:to>
      <xdr:col>16</xdr:col>
      <xdr:colOff>251460</xdr:colOff>
      <xdr:row>57</xdr:row>
      <xdr:rowOff>205740</xdr:rowOff>
    </xdr:to>
    <xdr:sp macro="" textlink="">
      <xdr:nvSpPr>
        <xdr:cNvPr id="3" name="L-Shape 2">
          <a:extLst>
            <a:ext uri="{FF2B5EF4-FFF2-40B4-BE49-F238E27FC236}">
              <a16:creationId xmlns:a16="http://schemas.microsoft.com/office/drawing/2014/main" id="{2733F83E-F3A7-41F5-B825-3CDAFB0012E6}"/>
            </a:ext>
          </a:extLst>
        </xdr:cNvPr>
        <xdr:cNvSpPr/>
      </xdr:nvSpPr>
      <xdr:spPr>
        <a:xfrm rot="5400000" flipV="1">
          <a:off x="-342900" y="350520"/>
          <a:ext cx="15758160" cy="15057120"/>
        </a:xfrm>
        <a:prstGeom prst="corner">
          <a:avLst>
            <a:gd name="adj1" fmla="val 7268"/>
            <a:gd name="adj2" fmla="val 2788"/>
          </a:avLst>
        </a:prstGeom>
        <a:gradFill>
          <a:gsLst>
            <a:gs pos="100000">
              <a:srgbClr val="A13F9E"/>
            </a:gs>
            <a:gs pos="0">
              <a:srgbClr val="4958CE"/>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45720</xdr:colOff>
      <xdr:row>1</xdr:row>
      <xdr:rowOff>7620</xdr:rowOff>
    </xdr:from>
    <xdr:to>
      <xdr:col>14</xdr:col>
      <xdr:colOff>914400</xdr:colOff>
      <xdr:row>1</xdr:row>
      <xdr:rowOff>441960</xdr:rowOff>
    </xdr:to>
    <xdr:sp macro="" textlink="">
      <xdr:nvSpPr>
        <xdr:cNvPr id="2" name="Rectangle: Top Corners Rounded 1">
          <a:extLst>
            <a:ext uri="{FF2B5EF4-FFF2-40B4-BE49-F238E27FC236}">
              <a16:creationId xmlns:a16="http://schemas.microsoft.com/office/drawing/2014/main" id="{B4586F8D-5419-42B1-9FF8-4A0DC34B414B}"/>
            </a:ext>
          </a:extLst>
        </xdr:cNvPr>
        <xdr:cNvSpPr/>
      </xdr:nvSpPr>
      <xdr:spPr>
        <a:xfrm>
          <a:off x="464820" y="426720"/>
          <a:ext cx="13472160" cy="434340"/>
        </a:xfrm>
        <a:prstGeom prst="round2SameRect">
          <a:avLst>
            <a:gd name="adj1" fmla="val 50000"/>
            <a:gd name="adj2" fmla="val 0"/>
          </a:avLst>
        </a:prstGeom>
        <a:noFill/>
        <a:ln w="76200">
          <a:solidFill>
            <a:srgbClr val="362F4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693421</xdr:colOff>
      <xdr:row>0</xdr:row>
      <xdr:rowOff>114301</xdr:rowOff>
    </xdr:from>
    <xdr:to>
      <xdr:col>14</xdr:col>
      <xdr:colOff>891541</xdr:colOff>
      <xdr:row>0</xdr:row>
      <xdr:rowOff>312421</xdr:rowOff>
    </xdr:to>
    <xdr:sp macro="" textlink="">
      <xdr:nvSpPr>
        <xdr:cNvPr id="7" name="Freeform 214">
          <a:hlinkClick xmlns:r="http://schemas.openxmlformats.org/officeDocument/2006/relationships" r:id="rId1" tooltip="Go to Dashboard"/>
          <a:extLst>
            <a:ext uri="{FF2B5EF4-FFF2-40B4-BE49-F238E27FC236}">
              <a16:creationId xmlns:a16="http://schemas.microsoft.com/office/drawing/2014/main" id="{3DE9145A-F7CD-4BFD-95D1-35A9AB6513B7}"/>
            </a:ext>
          </a:extLst>
        </xdr:cNvPr>
        <xdr:cNvSpPr>
          <a:spLocks noEditPoints="1"/>
        </xdr:cNvSpPr>
      </xdr:nvSpPr>
      <xdr:spPr bwMode="auto">
        <a:xfrm>
          <a:off x="13716001" y="114301"/>
          <a:ext cx="198120" cy="198120"/>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152400</xdr:colOff>
      <xdr:row>0</xdr:row>
      <xdr:rowOff>129540</xdr:rowOff>
    </xdr:from>
    <xdr:to>
      <xdr:col>2</xdr:col>
      <xdr:colOff>131064</xdr:colOff>
      <xdr:row>11</xdr:row>
      <xdr:rowOff>129540</xdr:rowOff>
    </xdr:to>
    <xdr:sp macro="" textlink="">
      <xdr:nvSpPr>
        <xdr:cNvPr id="2" name="Rectangle: Rounded Corners 1">
          <a:extLst>
            <a:ext uri="{FF2B5EF4-FFF2-40B4-BE49-F238E27FC236}">
              <a16:creationId xmlns:a16="http://schemas.microsoft.com/office/drawing/2014/main" id="{F7FAF9B7-D3B2-4C73-92F5-FAA295FF58D2}"/>
            </a:ext>
          </a:extLst>
        </xdr:cNvPr>
        <xdr:cNvSpPr/>
      </xdr:nvSpPr>
      <xdr:spPr>
        <a:xfrm>
          <a:off x="152400" y="129540"/>
          <a:ext cx="1197864"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152400</xdr:colOff>
      <xdr:row>7</xdr:row>
      <xdr:rowOff>45720</xdr:rowOff>
    </xdr:from>
    <xdr:to>
      <xdr:col>2</xdr:col>
      <xdr:colOff>152400</xdr:colOff>
      <xdr:row>11</xdr:row>
      <xdr:rowOff>60960</xdr:rowOff>
    </xdr:to>
    <xdr:sp macro="" textlink="">
      <xdr:nvSpPr>
        <xdr:cNvPr id="3" name="TextBox 2">
          <a:extLst>
            <a:ext uri="{FF2B5EF4-FFF2-40B4-BE49-F238E27FC236}">
              <a16:creationId xmlns:a16="http://schemas.microsoft.com/office/drawing/2014/main" id="{611123F0-ADC1-4721-B972-9BD0C8CFFA65}"/>
            </a:ext>
          </a:extLst>
        </xdr:cNvPr>
        <xdr:cNvSpPr txBox="1"/>
      </xdr:nvSpPr>
      <xdr:spPr>
        <a:xfrm>
          <a:off x="152400" y="1325880"/>
          <a:ext cx="1219200" cy="74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chemeClr val="accent2">
                  <a:lumMod val="75000"/>
                </a:schemeClr>
              </a:solidFill>
              <a:latin typeface="+mn-lt"/>
              <a:cs typeface="Aharoni" panose="02010803020104030203" pitchFamily="2" charset="-79"/>
            </a:rPr>
            <a:t>Vodafone</a:t>
          </a:r>
        </a:p>
        <a:p>
          <a:pPr algn="ctr"/>
          <a:r>
            <a:rPr lang="en-IN" sz="1050" b="1">
              <a:latin typeface="+mn-lt"/>
              <a:cs typeface="Aharoni" panose="02010803020104030203" pitchFamily="2" charset="-79"/>
            </a:rPr>
            <a:t>Sales Performance</a:t>
          </a:r>
        </a:p>
        <a:p>
          <a:pPr algn="ctr"/>
          <a:r>
            <a:rPr lang="en-IN" sz="1050" b="1">
              <a:latin typeface="+mn-lt"/>
              <a:cs typeface="Aharoni" panose="02010803020104030203" pitchFamily="2" charset="-79"/>
            </a:rPr>
            <a:t>Metrics</a:t>
          </a:r>
        </a:p>
        <a:p>
          <a:pPr algn="ctr"/>
          <a:r>
            <a:rPr lang="en-IN" sz="1000" b="1" baseline="0">
              <a:solidFill>
                <a:schemeClr val="bg1">
                  <a:lumMod val="50000"/>
                </a:schemeClr>
              </a:solidFill>
              <a:latin typeface="+mn-lt"/>
              <a:cs typeface="Aharoni" panose="02010803020104030203" pitchFamily="2" charset="-79"/>
            </a:rPr>
            <a:t>2022</a:t>
          </a:r>
          <a:endParaRPr lang="en-IN" sz="10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220980</xdr:colOff>
      <xdr:row>0</xdr:row>
      <xdr:rowOff>129540</xdr:rowOff>
    </xdr:from>
    <xdr:to>
      <xdr:col>5</xdr:col>
      <xdr:colOff>118533</xdr:colOff>
      <xdr:row>11</xdr:row>
      <xdr:rowOff>129540</xdr:rowOff>
    </xdr:to>
    <xdr:sp macro="" textlink="">
      <xdr:nvSpPr>
        <xdr:cNvPr id="8" name="Rectangle: Rounded Corners 7">
          <a:extLst>
            <a:ext uri="{FF2B5EF4-FFF2-40B4-BE49-F238E27FC236}">
              <a16:creationId xmlns:a16="http://schemas.microsoft.com/office/drawing/2014/main" id="{49A0A1AC-118D-4057-A16F-BE8408CD919E}"/>
            </a:ext>
          </a:extLst>
        </xdr:cNvPr>
        <xdr:cNvSpPr/>
      </xdr:nvSpPr>
      <xdr:spPr>
        <a:xfrm>
          <a:off x="1440180" y="129540"/>
          <a:ext cx="1726353"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3048</xdr:colOff>
      <xdr:row>1</xdr:row>
      <xdr:rowOff>76200</xdr:rowOff>
    </xdr:from>
    <xdr:to>
      <xdr:col>5</xdr:col>
      <xdr:colOff>3048</xdr:colOff>
      <xdr:row>3</xdr:row>
      <xdr:rowOff>7620</xdr:rowOff>
    </xdr:to>
    <xdr:sp macro="" textlink="">
      <xdr:nvSpPr>
        <xdr:cNvPr id="9" name="TextBox 8">
          <a:extLst>
            <a:ext uri="{FF2B5EF4-FFF2-40B4-BE49-F238E27FC236}">
              <a16:creationId xmlns:a16="http://schemas.microsoft.com/office/drawing/2014/main" id="{0952FC8F-732C-401C-A582-62E3AA8E6184}"/>
            </a:ext>
          </a:extLst>
        </xdr:cNvPr>
        <xdr:cNvSpPr txBox="1"/>
      </xdr:nvSpPr>
      <xdr:spPr>
        <a:xfrm>
          <a:off x="1831848" y="25908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50000"/>
                </a:schemeClr>
              </a:solidFill>
              <a:latin typeface="+mn-lt"/>
              <a:cs typeface="Aharoni" panose="02010803020104030203" pitchFamily="2" charset="-79"/>
            </a:rPr>
            <a:t>Total</a:t>
          </a:r>
          <a:r>
            <a:rPr lang="en-IN" sz="1100" b="1" baseline="0">
              <a:solidFill>
                <a:schemeClr val="bg1">
                  <a:lumMod val="50000"/>
                </a:schemeClr>
              </a:solidFill>
              <a:latin typeface="+mn-lt"/>
              <a:cs typeface="Aharoni" panose="02010803020104030203" pitchFamily="2" charset="-79"/>
            </a:rPr>
            <a:t> Earnings</a:t>
          </a:r>
          <a:endParaRPr lang="en-IN" sz="11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307848</xdr:colOff>
      <xdr:row>4</xdr:row>
      <xdr:rowOff>144780</xdr:rowOff>
    </xdr:from>
    <xdr:to>
      <xdr:col>4</xdr:col>
      <xdr:colOff>114300</xdr:colOff>
      <xdr:row>6</xdr:row>
      <xdr:rowOff>15240</xdr:rowOff>
    </xdr:to>
    <xdr:sp macro="" textlink="">
      <xdr:nvSpPr>
        <xdr:cNvPr id="10" name="TextBox 9">
          <a:extLst>
            <a:ext uri="{FF2B5EF4-FFF2-40B4-BE49-F238E27FC236}">
              <a16:creationId xmlns:a16="http://schemas.microsoft.com/office/drawing/2014/main" id="{1BC1891C-330C-42F3-83CB-D714C3C4A606}"/>
            </a:ext>
          </a:extLst>
        </xdr:cNvPr>
        <xdr:cNvSpPr txBox="1"/>
      </xdr:nvSpPr>
      <xdr:spPr>
        <a:xfrm>
          <a:off x="1527048" y="87630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Egyptian</a:t>
          </a:r>
          <a:r>
            <a:rPr lang="en-IN" sz="900" b="0" baseline="0">
              <a:solidFill>
                <a:schemeClr val="bg1">
                  <a:lumMod val="50000"/>
                </a:schemeClr>
              </a:solidFill>
              <a:latin typeface="Arial" panose="020B0604020202020204" pitchFamily="34" charset="0"/>
              <a:cs typeface="Arial" panose="020B0604020202020204" pitchFamily="34" charset="0"/>
            </a:rPr>
            <a:t> Pound</a:t>
          </a:r>
          <a:endParaRPr lang="en-IN" sz="900" b="0">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2</xdr:col>
      <xdr:colOff>307848</xdr:colOff>
      <xdr:row>3</xdr:row>
      <xdr:rowOff>68580</xdr:rowOff>
    </xdr:from>
    <xdr:to>
      <xdr:col>5</xdr:col>
      <xdr:colOff>243840</xdr:colOff>
      <xdr:row>5</xdr:row>
      <xdr:rowOff>0</xdr:rowOff>
    </xdr:to>
    <xdr:sp macro="" textlink="Pivot_tables!B5">
      <xdr:nvSpPr>
        <xdr:cNvPr id="11" name="TextBox 10">
          <a:extLst>
            <a:ext uri="{FF2B5EF4-FFF2-40B4-BE49-F238E27FC236}">
              <a16:creationId xmlns:a16="http://schemas.microsoft.com/office/drawing/2014/main" id="{68368066-B3A0-4408-BEE7-F0E948604365}"/>
            </a:ext>
          </a:extLst>
        </xdr:cNvPr>
        <xdr:cNvSpPr txBox="1"/>
      </xdr:nvSpPr>
      <xdr:spPr>
        <a:xfrm>
          <a:off x="1527048" y="617220"/>
          <a:ext cx="1764792"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5C43465-4DDF-45BD-9517-DF8231A1F2AF}" type="TxLink">
            <a:rPr lang="en-US" sz="1600" b="0" i="0" u="none" strike="noStrike">
              <a:solidFill>
                <a:srgbClr val="000000"/>
              </a:solidFill>
              <a:latin typeface="+mn-lt"/>
              <a:cs typeface="Arial"/>
            </a:rPr>
            <a:pPr algn="l"/>
            <a:t>98,40,00,000</a:t>
          </a:fld>
          <a:endParaRPr lang="en-US" sz="2400">
            <a:latin typeface="+mn-lt"/>
          </a:endParaRPr>
        </a:p>
      </xdr:txBody>
    </xdr:sp>
    <xdr:clientData/>
  </xdr:twoCellAnchor>
  <xdr:twoCellAnchor editAs="absolute">
    <xdr:from>
      <xdr:col>2</xdr:col>
      <xdr:colOff>335280</xdr:colOff>
      <xdr:row>1</xdr:row>
      <xdr:rowOff>7620</xdr:rowOff>
    </xdr:from>
    <xdr:to>
      <xdr:col>3</xdr:col>
      <xdr:colOff>182880</xdr:colOff>
      <xdr:row>3</xdr:row>
      <xdr:rowOff>99060</xdr:rowOff>
    </xdr:to>
    <xdr:pic>
      <xdr:nvPicPr>
        <xdr:cNvPr id="14" name="Picture 13">
          <a:extLst>
            <a:ext uri="{FF2B5EF4-FFF2-40B4-BE49-F238E27FC236}">
              <a16:creationId xmlns:a16="http://schemas.microsoft.com/office/drawing/2014/main" id="{0D29B92D-B146-4D8A-8B3A-C4278E2BF1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554480" y="190500"/>
          <a:ext cx="457200" cy="457200"/>
        </a:xfrm>
        <a:prstGeom prst="rect">
          <a:avLst/>
        </a:prstGeom>
      </xdr:spPr>
    </xdr:pic>
    <xdr:clientData/>
  </xdr:twoCellAnchor>
  <xdr:twoCellAnchor editAs="absolute">
    <xdr:from>
      <xdr:col>4</xdr:col>
      <xdr:colOff>559731</xdr:colOff>
      <xdr:row>2</xdr:row>
      <xdr:rowOff>172936</xdr:rowOff>
    </xdr:from>
    <xdr:to>
      <xdr:col>5</xdr:col>
      <xdr:colOff>32377</xdr:colOff>
      <xdr:row>3</xdr:row>
      <xdr:rowOff>42931</xdr:rowOff>
    </xdr:to>
    <xdr:sp macro="" textlink="">
      <xdr:nvSpPr>
        <xdr:cNvPr id="12" name="Isosceles Triangle 11">
          <a:extLst>
            <a:ext uri="{FF2B5EF4-FFF2-40B4-BE49-F238E27FC236}">
              <a16:creationId xmlns:a16="http://schemas.microsoft.com/office/drawing/2014/main" id="{9D9E3BB6-DA46-42C7-A81D-E3CA80793E00}"/>
            </a:ext>
          </a:extLst>
        </xdr:cNvPr>
        <xdr:cNvSpPr/>
      </xdr:nvSpPr>
      <xdr:spPr>
        <a:xfrm>
          <a:off x="2998131" y="538696"/>
          <a:ext cx="82246" cy="52875"/>
        </a:xfrm>
        <a:prstGeom prst="triangle">
          <a:avLst/>
        </a:prstGeom>
        <a:solidFill>
          <a:srgbClr val="00B626"/>
        </a:solidFill>
        <a:ln>
          <a:solidFill>
            <a:srgbClr val="00B62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388620</xdr:colOff>
      <xdr:row>6</xdr:row>
      <xdr:rowOff>99060</xdr:rowOff>
    </xdr:from>
    <xdr:to>
      <xdr:col>4</xdr:col>
      <xdr:colOff>482600</xdr:colOff>
      <xdr:row>6</xdr:row>
      <xdr:rowOff>99060</xdr:rowOff>
    </xdr:to>
    <xdr:cxnSp macro="">
      <xdr:nvCxnSpPr>
        <xdr:cNvPr id="16" name="Straight Connector 15">
          <a:extLst>
            <a:ext uri="{FF2B5EF4-FFF2-40B4-BE49-F238E27FC236}">
              <a16:creationId xmlns:a16="http://schemas.microsoft.com/office/drawing/2014/main" id="{587584B0-EB0F-49FD-B6C3-3A00CC60AE3F}"/>
            </a:ext>
          </a:extLst>
        </xdr:cNvPr>
        <xdr:cNvCxnSpPr/>
      </xdr:nvCxnSpPr>
      <xdr:spPr>
        <a:xfrm flipH="1">
          <a:off x="1607820" y="1216660"/>
          <a:ext cx="131318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xdr:col>
      <xdr:colOff>292608</xdr:colOff>
      <xdr:row>6</xdr:row>
      <xdr:rowOff>137160</xdr:rowOff>
    </xdr:from>
    <xdr:to>
      <xdr:col>4</xdr:col>
      <xdr:colOff>292608</xdr:colOff>
      <xdr:row>8</xdr:row>
      <xdr:rowOff>68580</xdr:rowOff>
    </xdr:to>
    <xdr:sp macro="" textlink="">
      <xdr:nvSpPr>
        <xdr:cNvPr id="17" name="TextBox 16">
          <a:extLst>
            <a:ext uri="{FF2B5EF4-FFF2-40B4-BE49-F238E27FC236}">
              <a16:creationId xmlns:a16="http://schemas.microsoft.com/office/drawing/2014/main" id="{437EB70D-65AB-4E87-B999-FB5225B622E1}"/>
            </a:ext>
          </a:extLst>
        </xdr:cNvPr>
        <xdr:cNvSpPr txBox="1"/>
      </xdr:nvSpPr>
      <xdr:spPr>
        <a:xfrm>
          <a:off x="1511808" y="123444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 Calls</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292608</xdr:colOff>
      <xdr:row>9</xdr:row>
      <xdr:rowOff>129540</xdr:rowOff>
    </xdr:from>
    <xdr:to>
      <xdr:col>4</xdr:col>
      <xdr:colOff>99060</xdr:colOff>
      <xdr:row>11</xdr:row>
      <xdr:rowOff>0</xdr:rowOff>
    </xdr:to>
    <xdr:sp macro="" textlink="">
      <xdr:nvSpPr>
        <xdr:cNvPr id="18" name="TextBox 17">
          <a:extLst>
            <a:ext uri="{FF2B5EF4-FFF2-40B4-BE49-F238E27FC236}">
              <a16:creationId xmlns:a16="http://schemas.microsoft.com/office/drawing/2014/main" id="{BA8E46DE-63ED-4817-A090-2AAAF00EF942}"/>
            </a:ext>
          </a:extLst>
        </xdr:cNvPr>
        <xdr:cNvSpPr txBox="1"/>
      </xdr:nvSpPr>
      <xdr:spPr>
        <a:xfrm>
          <a:off x="1511808" y="177546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Call</a:t>
          </a:r>
        </a:p>
      </xdr:txBody>
    </xdr:sp>
    <xdr:clientData/>
  </xdr:twoCellAnchor>
  <xdr:twoCellAnchor editAs="absolute">
    <xdr:from>
      <xdr:col>2</xdr:col>
      <xdr:colOff>233339</xdr:colOff>
      <xdr:row>8</xdr:row>
      <xdr:rowOff>53340</xdr:rowOff>
    </xdr:from>
    <xdr:to>
      <xdr:col>5</xdr:col>
      <xdr:colOff>169331</xdr:colOff>
      <xdr:row>9</xdr:row>
      <xdr:rowOff>167640</xdr:rowOff>
    </xdr:to>
    <xdr:sp macro="" textlink="Pivot_tables!I5">
      <xdr:nvSpPr>
        <xdr:cNvPr id="19" name="TextBox 18">
          <a:extLst>
            <a:ext uri="{FF2B5EF4-FFF2-40B4-BE49-F238E27FC236}">
              <a16:creationId xmlns:a16="http://schemas.microsoft.com/office/drawing/2014/main" id="{3DF9F50E-4F98-48A1-9F40-CAD3722B3D28}"/>
            </a:ext>
          </a:extLst>
        </xdr:cNvPr>
        <xdr:cNvSpPr txBox="1"/>
      </xdr:nvSpPr>
      <xdr:spPr>
        <a:xfrm>
          <a:off x="1452539" y="1543473"/>
          <a:ext cx="176479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3C6EBC2-F236-4E0C-9C50-B90D9F8FACC3}" type="TxLink">
            <a:rPr lang="en-US" sz="1600" b="0" i="0" u="none" strike="noStrike">
              <a:solidFill>
                <a:srgbClr val="000000"/>
              </a:solidFill>
              <a:latin typeface="+mn-lt"/>
              <a:ea typeface="+mn-ea"/>
              <a:cs typeface="Arial"/>
            </a:rPr>
            <a:pPr marL="0" indent="0" algn="l"/>
            <a:t> 54 </a:t>
          </a:fld>
          <a:endParaRPr lang="en-US" sz="1600" b="0" i="0" u="none" strike="noStrike">
            <a:solidFill>
              <a:srgbClr val="000000"/>
            </a:solidFill>
            <a:latin typeface="+mn-lt"/>
            <a:ea typeface="+mn-ea"/>
            <a:cs typeface="Arial"/>
          </a:endParaRPr>
        </a:p>
      </xdr:txBody>
    </xdr:sp>
    <xdr:clientData/>
  </xdr:twoCellAnchor>
  <xdr:twoCellAnchor editAs="absolute">
    <xdr:from>
      <xdr:col>5</xdr:col>
      <xdr:colOff>209121</xdr:colOff>
      <xdr:row>0</xdr:row>
      <xdr:rowOff>129540</xdr:rowOff>
    </xdr:from>
    <xdr:to>
      <xdr:col>8</xdr:col>
      <xdr:colOff>382857</xdr:colOff>
      <xdr:row>11</xdr:row>
      <xdr:rowOff>129540</xdr:rowOff>
    </xdr:to>
    <xdr:sp macro="" textlink="">
      <xdr:nvSpPr>
        <xdr:cNvPr id="22" name="Rectangle: Rounded Corners 21">
          <a:extLst>
            <a:ext uri="{FF2B5EF4-FFF2-40B4-BE49-F238E27FC236}">
              <a16:creationId xmlns:a16="http://schemas.microsoft.com/office/drawing/2014/main" id="{9CFC3406-1E5C-4B9E-9E62-D21727494564}"/>
            </a:ext>
          </a:extLst>
        </xdr:cNvPr>
        <xdr:cNvSpPr/>
      </xdr:nvSpPr>
      <xdr:spPr>
        <a:xfrm>
          <a:off x="3257121" y="1295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285321</xdr:colOff>
      <xdr:row>1</xdr:row>
      <xdr:rowOff>30480</xdr:rowOff>
    </xdr:from>
    <xdr:to>
      <xdr:col>7</xdr:col>
      <xdr:colOff>26241</xdr:colOff>
      <xdr:row>4</xdr:row>
      <xdr:rowOff>137160</xdr:rowOff>
    </xdr:to>
    <xdr:sp macro="" textlink="">
      <xdr:nvSpPr>
        <xdr:cNvPr id="23" name="TextBox 22">
          <a:extLst>
            <a:ext uri="{FF2B5EF4-FFF2-40B4-BE49-F238E27FC236}">
              <a16:creationId xmlns:a16="http://schemas.microsoft.com/office/drawing/2014/main" id="{0941C4C5-A6FC-4168-926C-BB1108F37E51}"/>
            </a:ext>
          </a:extLst>
        </xdr:cNvPr>
        <xdr:cNvSpPr txBox="1"/>
      </xdr:nvSpPr>
      <xdr:spPr>
        <a:xfrm>
          <a:off x="3333321" y="216747"/>
          <a:ext cx="960120"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Consultants</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Sales 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7</xdr:col>
      <xdr:colOff>582501</xdr:colOff>
      <xdr:row>1</xdr:row>
      <xdr:rowOff>144780</xdr:rowOff>
    </xdr:from>
    <xdr:to>
      <xdr:col>8</xdr:col>
      <xdr:colOff>140541</xdr:colOff>
      <xdr:row>2</xdr:row>
      <xdr:rowOff>129540</xdr:rowOff>
    </xdr:to>
    <xdr:pic>
      <xdr:nvPicPr>
        <xdr:cNvPr id="25" name="Graphic 24" descr="Star">
          <a:extLst>
            <a:ext uri="{FF2B5EF4-FFF2-40B4-BE49-F238E27FC236}">
              <a16:creationId xmlns:a16="http://schemas.microsoft.com/office/drawing/2014/main" id="{0B5FD902-6FF3-4B5F-B6CB-72CAA14860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849701" y="331047"/>
          <a:ext cx="167640" cy="171026"/>
        </a:xfrm>
        <a:prstGeom prst="rect">
          <a:avLst/>
        </a:prstGeom>
      </xdr:spPr>
    </xdr:pic>
    <xdr:clientData/>
  </xdr:twoCellAnchor>
  <xdr:twoCellAnchor editAs="absolute">
    <xdr:from>
      <xdr:col>5</xdr:col>
      <xdr:colOff>102441</xdr:colOff>
      <xdr:row>4</xdr:row>
      <xdr:rowOff>137160</xdr:rowOff>
    </xdr:from>
    <xdr:to>
      <xdr:col>8</xdr:col>
      <xdr:colOff>529161</xdr:colOff>
      <xdr:row>6</xdr:row>
      <xdr:rowOff>22860</xdr:rowOff>
    </xdr:to>
    <xdr:grpSp>
      <xdr:nvGrpSpPr>
        <xdr:cNvPr id="29" name="Group 28">
          <a:extLst>
            <a:ext uri="{FF2B5EF4-FFF2-40B4-BE49-F238E27FC236}">
              <a16:creationId xmlns:a16="http://schemas.microsoft.com/office/drawing/2014/main" id="{9A4478ED-CD5A-4B4D-94B9-0236BD0546E6}"/>
            </a:ext>
          </a:extLst>
        </xdr:cNvPr>
        <xdr:cNvGrpSpPr/>
      </xdr:nvGrpSpPr>
      <xdr:grpSpPr>
        <a:xfrm>
          <a:off x="3150441" y="882227"/>
          <a:ext cx="2255520" cy="258233"/>
          <a:chOff x="3695700" y="800100"/>
          <a:chExt cx="2255520" cy="251460"/>
        </a:xfrm>
      </xdr:grpSpPr>
      <xdr:sp macro="" textlink="Pivot_tables!O5">
        <xdr:nvSpPr>
          <xdr:cNvPr id="27" name="TextBox 26">
            <a:extLst>
              <a:ext uri="{FF2B5EF4-FFF2-40B4-BE49-F238E27FC236}">
                <a16:creationId xmlns:a16="http://schemas.microsoft.com/office/drawing/2014/main" id="{F40474DF-1BB6-42A6-AE4E-56BE61FB20CD}"/>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848A1BC-24F5-4F9F-9A4F-280B21214C0A}" type="TxLink">
              <a:rPr lang="en-US" sz="1050" b="0" i="0" u="none" strike="noStrike">
                <a:solidFill>
                  <a:schemeClr val="tx1">
                    <a:lumMod val="50000"/>
                    <a:lumOff val="50000"/>
                  </a:schemeClr>
                </a:solidFill>
                <a:latin typeface="Arial"/>
                <a:cs typeface="Arial"/>
              </a:rPr>
              <a:pPr algn="l"/>
              <a:t>Hany</a:t>
            </a:fld>
            <a:endParaRPr lang="en-IN" sz="800" b="1">
              <a:solidFill>
                <a:schemeClr val="tx1">
                  <a:lumMod val="50000"/>
                  <a:lumOff val="50000"/>
                </a:schemeClr>
              </a:solidFill>
              <a:latin typeface="+mn-lt"/>
              <a:cs typeface="Aharoni" panose="02010803020104030203" pitchFamily="2" charset="-79"/>
            </a:endParaRPr>
          </a:p>
        </xdr:txBody>
      </xdr:sp>
      <xdr:sp macro="" textlink="Pivot_tables!P5">
        <xdr:nvSpPr>
          <xdr:cNvPr id="28" name="TextBox 27">
            <a:extLst>
              <a:ext uri="{FF2B5EF4-FFF2-40B4-BE49-F238E27FC236}">
                <a16:creationId xmlns:a16="http://schemas.microsoft.com/office/drawing/2014/main" id="{9443850E-1817-43B3-AD10-45B973386C25}"/>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4AE1203-2F2C-40DA-8671-FD96549DAE0E}" type="TxLink">
              <a:rPr lang="en-US" sz="1050" b="0" i="0" u="none" strike="noStrike">
                <a:solidFill>
                  <a:schemeClr val="tx1">
                    <a:lumMod val="65000"/>
                    <a:lumOff val="35000"/>
                  </a:schemeClr>
                </a:solidFill>
                <a:latin typeface="Arial"/>
                <a:cs typeface="Arial"/>
              </a:rPr>
              <a:pPr algn="r"/>
              <a:t>22,20,00,000</a:t>
            </a:fld>
            <a:endParaRPr lang="en-IN" sz="800" b="1">
              <a:solidFill>
                <a:schemeClr val="tx1">
                  <a:lumMod val="65000"/>
                  <a:lumOff val="35000"/>
                </a:schemeClr>
              </a:solidFill>
              <a:latin typeface="+mn-lt"/>
              <a:cs typeface="Aharoni" panose="02010803020104030203" pitchFamily="2" charset="-79"/>
            </a:endParaRPr>
          </a:p>
        </xdr:txBody>
      </xdr:sp>
    </xdr:grpSp>
    <xdr:clientData/>
  </xdr:twoCellAnchor>
  <xdr:twoCellAnchor editAs="absolute">
    <xdr:from>
      <xdr:col>5</xdr:col>
      <xdr:colOff>102441</xdr:colOff>
      <xdr:row>7</xdr:row>
      <xdr:rowOff>68580</xdr:rowOff>
    </xdr:from>
    <xdr:to>
      <xdr:col>8</xdr:col>
      <xdr:colOff>529161</xdr:colOff>
      <xdr:row>8</xdr:row>
      <xdr:rowOff>137160</xdr:rowOff>
    </xdr:to>
    <xdr:grpSp>
      <xdr:nvGrpSpPr>
        <xdr:cNvPr id="39" name="Group 38">
          <a:extLst>
            <a:ext uri="{FF2B5EF4-FFF2-40B4-BE49-F238E27FC236}">
              <a16:creationId xmlns:a16="http://schemas.microsoft.com/office/drawing/2014/main" id="{999EE1CE-A4EC-4222-8D73-E3489F5E774A}"/>
            </a:ext>
          </a:extLst>
        </xdr:cNvPr>
        <xdr:cNvGrpSpPr/>
      </xdr:nvGrpSpPr>
      <xdr:grpSpPr>
        <a:xfrm>
          <a:off x="3150441" y="1372447"/>
          <a:ext cx="2255520" cy="254846"/>
          <a:chOff x="3695700" y="800100"/>
          <a:chExt cx="2255520" cy="251460"/>
        </a:xfrm>
      </xdr:grpSpPr>
      <xdr:sp macro="" textlink="Pivot_tables!O7">
        <xdr:nvSpPr>
          <xdr:cNvPr id="40" name="TextBox 39">
            <a:extLst>
              <a:ext uri="{FF2B5EF4-FFF2-40B4-BE49-F238E27FC236}">
                <a16:creationId xmlns:a16="http://schemas.microsoft.com/office/drawing/2014/main" id="{C100DB87-37BB-4945-83E3-1161419199F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E78B41A-5826-4982-A066-BF1C3FCD2700}" type="TxLink">
              <a:rPr lang="en-US" sz="1050" b="0" i="0" u="none" strike="noStrike">
                <a:solidFill>
                  <a:schemeClr val="tx1">
                    <a:lumMod val="50000"/>
                    <a:lumOff val="50000"/>
                  </a:schemeClr>
                </a:solidFill>
                <a:latin typeface="Arial"/>
                <a:ea typeface="+mn-ea"/>
                <a:cs typeface="Arial"/>
              </a:rPr>
              <a:pPr marL="0" indent="0" algn="l"/>
              <a:t>Mohmed</a:t>
            </a:fld>
            <a:endParaRPr lang="en-IN" sz="1050" b="0" i="0" u="none" strike="noStrike">
              <a:solidFill>
                <a:schemeClr val="tx1">
                  <a:lumMod val="50000"/>
                  <a:lumOff val="50000"/>
                </a:schemeClr>
              </a:solidFill>
              <a:latin typeface="Arial"/>
              <a:ea typeface="+mn-ea"/>
              <a:cs typeface="Arial"/>
            </a:endParaRPr>
          </a:p>
        </xdr:txBody>
      </xdr:sp>
      <xdr:sp macro="" textlink="Pivot_tables!P7">
        <xdr:nvSpPr>
          <xdr:cNvPr id="41" name="TextBox 40">
            <a:extLst>
              <a:ext uri="{FF2B5EF4-FFF2-40B4-BE49-F238E27FC236}">
                <a16:creationId xmlns:a16="http://schemas.microsoft.com/office/drawing/2014/main" id="{D55B377D-ED1F-4E28-B5B9-E1BBF4DD18B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F65E9F7-3864-4218-B0AE-F4D7274C743D}" type="TxLink">
              <a:rPr lang="en-US" sz="1050" b="0" i="0" u="none" strike="noStrike">
                <a:solidFill>
                  <a:schemeClr val="tx1">
                    <a:lumMod val="65000"/>
                    <a:lumOff val="35000"/>
                  </a:schemeClr>
                </a:solidFill>
                <a:latin typeface="Arial"/>
                <a:ea typeface="+mn-ea"/>
                <a:cs typeface="Arial"/>
              </a:rPr>
              <a:pPr marL="0" indent="0" algn="r"/>
              <a:t>13,20,00,000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6</xdr:row>
      <xdr:rowOff>11430</xdr:rowOff>
    </xdr:from>
    <xdr:to>
      <xdr:col>8</xdr:col>
      <xdr:colOff>529161</xdr:colOff>
      <xdr:row>7</xdr:row>
      <xdr:rowOff>80010</xdr:rowOff>
    </xdr:to>
    <xdr:grpSp>
      <xdr:nvGrpSpPr>
        <xdr:cNvPr id="42" name="Group 41">
          <a:extLst>
            <a:ext uri="{FF2B5EF4-FFF2-40B4-BE49-F238E27FC236}">
              <a16:creationId xmlns:a16="http://schemas.microsoft.com/office/drawing/2014/main" id="{7E64EABD-0AE9-420A-B278-78C8428D66EF}"/>
            </a:ext>
          </a:extLst>
        </xdr:cNvPr>
        <xdr:cNvGrpSpPr/>
      </xdr:nvGrpSpPr>
      <xdr:grpSpPr>
        <a:xfrm>
          <a:off x="3150441" y="1129030"/>
          <a:ext cx="2255520" cy="254847"/>
          <a:chOff x="3695700" y="800100"/>
          <a:chExt cx="2255520" cy="251460"/>
        </a:xfrm>
      </xdr:grpSpPr>
      <xdr:sp macro="" textlink="Pivot_tables!O6">
        <xdr:nvSpPr>
          <xdr:cNvPr id="43" name="TextBox 42">
            <a:extLst>
              <a:ext uri="{FF2B5EF4-FFF2-40B4-BE49-F238E27FC236}">
                <a16:creationId xmlns:a16="http://schemas.microsoft.com/office/drawing/2014/main" id="{BD8D7902-79CB-47F4-BDC6-DABC77B001C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31939B2-7921-4834-9E5D-A9DC90162183}" type="TxLink">
              <a:rPr lang="en-US" sz="1050" b="0" i="0" u="none" strike="noStrike">
                <a:solidFill>
                  <a:schemeClr val="tx1">
                    <a:lumMod val="50000"/>
                    <a:lumOff val="50000"/>
                  </a:schemeClr>
                </a:solidFill>
                <a:latin typeface="Arial"/>
                <a:ea typeface="+mn-ea"/>
                <a:cs typeface="Arial"/>
              </a:rPr>
              <a:pPr marL="0" indent="0" algn="l"/>
              <a:t>Rony</a:t>
            </a:fld>
            <a:endParaRPr lang="en-IN" sz="1050" b="0" i="0" u="none" strike="noStrike">
              <a:solidFill>
                <a:schemeClr val="tx1">
                  <a:lumMod val="50000"/>
                  <a:lumOff val="50000"/>
                </a:schemeClr>
              </a:solidFill>
              <a:latin typeface="Arial"/>
              <a:ea typeface="+mn-ea"/>
              <a:cs typeface="Arial"/>
            </a:endParaRPr>
          </a:p>
        </xdr:txBody>
      </xdr:sp>
      <xdr:sp macro="" textlink="Pivot_tables!P6">
        <xdr:nvSpPr>
          <xdr:cNvPr id="44" name="TextBox 43">
            <a:extLst>
              <a:ext uri="{FF2B5EF4-FFF2-40B4-BE49-F238E27FC236}">
                <a16:creationId xmlns:a16="http://schemas.microsoft.com/office/drawing/2014/main" id="{968A4A79-4052-4C48-B03C-3AA0B063B950}"/>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03173C-841D-4519-B129-900CEB51947A}" type="TxLink">
              <a:rPr lang="en-US" sz="1050" b="0" i="0" u="none" strike="noStrike">
                <a:solidFill>
                  <a:schemeClr val="tx1">
                    <a:lumMod val="65000"/>
                    <a:lumOff val="35000"/>
                  </a:schemeClr>
                </a:solidFill>
                <a:latin typeface="Arial"/>
                <a:ea typeface="+mn-ea"/>
                <a:cs typeface="Arial"/>
              </a:rPr>
              <a:pPr marL="0" indent="0" algn="r"/>
              <a:t>15,00,00,000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8</xdr:row>
      <xdr:rowOff>125730</xdr:rowOff>
    </xdr:from>
    <xdr:to>
      <xdr:col>8</xdr:col>
      <xdr:colOff>529161</xdr:colOff>
      <xdr:row>10</xdr:row>
      <xdr:rowOff>11430</xdr:rowOff>
    </xdr:to>
    <xdr:grpSp>
      <xdr:nvGrpSpPr>
        <xdr:cNvPr id="45" name="Group 44">
          <a:extLst>
            <a:ext uri="{FF2B5EF4-FFF2-40B4-BE49-F238E27FC236}">
              <a16:creationId xmlns:a16="http://schemas.microsoft.com/office/drawing/2014/main" id="{29FAEB08-5AD8-482B-A0C0-64F4AE44909E}"/>
            </a:ext>
          </a:extLst>
        </xdr:cNvPr>
        <xdr:cNvGrpSpPr/>
      </xdr:nvGrpSpPr>
      <xdr:grpSpPr>
        <a:xfrm>
          <a:off x="3150441" y="1615863"/>
          <a:ext cx="2255520" cy="258234"/>
          <a:chOff x="3695700" y="800100"/>
          <a:chExt cx="2255520" cy="251460"/>
        </a:xfrm>
      </xdr:grpSpPr>
      <xdr:sp macro="" textlink="Pivot_tables!O8">
        <xdr:nvSpPr>
          <xdr:cNvPr id="46" name="TextBox 45">
            <a:extLst>
              <a:ext uri="{FF2B5EF4-FFF2-40B4-BE49-F238E27FC236}">
                <a16:creationId xmlns:a16="http://schemas.microsoft.com/office/drawing/2014/main" id="{3BD2C42D-B92E-4C13-A704-0C23CFC1E7A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37F63CA-C286-49DD-BDD3-531FEA8135BA}" type="TxLink">
              <a:rPr lang="en-US" sz="1050" b="0" i="0" u="none" strike="noStrike">
                <a:solidFill>
                  <a:schemeClr val="tx1">
                    <a:lumMod val="50000"/>
                    <a:lumOff val="50000"/>
                  </a:schemeClr>
                </a:solidFill>
                <a:latin typeface="Arial"/>
                <a:ea typeface="+mn-ea"/>
                <a:cs typeface="Arial"/>
              </a:rPr>
              <a:pPr marL="0" indent="0" algn="l"/>
              <a:t>Reham</a:t>
            </a:fld>
            <a:endParaRPr lang="en-IN" sz="1050" b="0" i="0" u="none" strike="noStrike">
              <a:solidFill>
                <a:schemeClr val="tx1">
                  <a:lumMod val="50000"/>
                  <a:lumOff val="50000"/>
                </a:schemeClr>
              </a:solidFill>
              <a:latin typeface="Arial"/>
              <a:ea typeface="+mn-ea"/>
              <a:cs typeface="Arial"/>
            </a:endParaRPr>
          </a:p>
        </xdr:txBody>
      </xdr:sp>
      <xdr:sp macro="" textlink="Pivot_tables!P8">
        <xdr:nvSpPr>
          <xdr:cNvPr id="47" name="TextBox 46">
            <a:extLst>
              <a:ext uri="{FF2B5EF4-FFF2-40B4-BE49-F238E27FC236}">
                <a16:creationId xmlns:a16="http://schemas.microsoft.com/office/drawing/2014/main" id="{C3813A34-9B50-4FFF-8E06-6260FAFA918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5CC58E5-3BD4-4C31-8C2E-1B56B97173C0}" type="TxLink">
              <a:rPr lang="en-US" sz="1050" b="0" i="0" u="none" strike="noStrike">
                <a:solidFill>
                  <a:schemeClr val="tx1">
                    <a:lumMod val="65000"/>
                    <a:lumOff val="35000"/>
                  </a:schemeClr>
                </a:solidFill>
                <a:latin typeface="Arial"/>
                <a:ea typeface="+mn-ea"/>
                <a:cs typeface="Arial"/>
              </a:rPr>
              <a:pPr marL="0" indent="0" algn="r"/>
              <a:t>9,40,00,000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10</xdr:row>
      <xdr:rowOff>0</xdr:rowOff>
    </xdr:from>
    <xdr:to>
      <xdr:col>8</xdr:col>
      <xdr:colOff>529161</xdr:colOff>
      <xdr:row>11</xdr:row>
      <xdr:rowOff>68580</xdr:rowOff>
    </xdr:to>
    <xdr:grpSp>
      <xdr:nvGrpSpPr>
        <xdr:cNvPr id="48" name="Group 47">
          <a:extLst>
            <a:ext uri="{FF2B5EF4-FFF2-40B4-BE49-F238E27FC236}">
              <a16:creationId xmlns:a16="http://schemas.microsoft.com/office/drawing/2014/main" id="{3E3D478D-7C27-4BAB-A25A-5C8181F26AB6}"/>
            </a:ext>
          </a:extLst>
        </xdr:cNvPr>
        <xdr:cNvGrpSpPr/>
      </xdr:nvGrpSpPr>
      <xdr:grpSpPr>
        <a:xfrm>
          <a:off x="3150441" y="1862667"/>
          <a:ext cx="2255520" cy="254846"/>
          <a:chOff x="3695700" y="800100"/>
          <a:chExt cx="2255520" cy="251460"/>
        </a:xfrm>
      </xdr:grpSpPr>
      <xdr:sp macro="" textlink="Pivot_tables!O9">
        <xdr:nvSpPr>
          <xdr:cNvPr id="49" name="TextBox 48">
            <a:extLst>
              <a:ext uri="{FF2B5EF4-FFF2-40B4-BE49-F238E27FC236}">
                <a16:creationId xmlns:a16="http://schemas.microsoft.com/office/drawing/2014/main" id="{E8D25AA8-787B-410A-8895-69C1A18EC4F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3577F7D-E2EF-4326-8F23-F01AD9F543EC}" type="TxLink">
              <a:rPr lang="en-US" sz="1050" b="0" i="0" u="none" strike="noStrike">
                <a:solidFill>
                  <a:schemeClr val="tx1">
                    <a:lumMod val="50000"/>
                    <a:lumOff val="50000"/>
                  </a:schemeClr>
                </a:solidFill>
                <a:latin typeface="Arial"/>
                <a:ea typeface="+mn-ea"/>
                <a:cs typeface="Arial"/>
              </a:rPr>
              <a:pPr marL="0" indent="0" algn="l"/>
              <a:t>Kisho</a:t>
            </a:fld>
            <a:endParaRPr lang="en-IN" sz="1050" b="0" i="0" u="none" strike="noStrike">
              <a:solidFill>
                <a:schemeClr val="tx1">
                  <a:lumMod val="50000"/>
                  <a:lumOff val="50000"/>
                </a:schemeClr>
              </a:solidFill>
              <a:latin typeface="Arial"/>
              <a:ea typeface="+mn-ea"/>
              <a:cs typeface="Arial"/>
            </a:endParaRPr>
          </a:p>
        </xdr:txBody>
      </xdr:sp>
      <xdr:sp macro="" textlink="Pivot_tables!P9">
        <xdr:nvSpPr>
          <xdr:cNvPr id="50" name="TextBox 49">
            <a:extLst>
              <a:ext uri="{FF2B5EF4-FFF2-40B4-BE49-F238E27FC236}">
                <a16:creationId xmlns:a16="http://schemas.microsoft.com/office/drawing/2014/main" id="{587D2B4C-BF3D-43FA-AA72-AD232E791226}"/>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5EBE24C-2BF5-4DFF-B63E-A80060D0DFB8}" type="TxLink">
              <a:rPr lang="en-US" sz="1050" b="0" i="0" u="none" strike="noStrike">
                <a:solidFill>
                  <a:schemeClr val="tx1">
                    <a:lumMod val="65000"/>
                    <a:lumOff val="35000"/>
                  </a:schemeClr>
                </a:solidFill>
                <a:latin typeface="Arial"/>
                <a:ea typeface="+mn-ea"/>
                <a:cs typeface="Arial"/>
              </a:rPr>
              <a:pPr marL="0" indent="0" algn="r"/>
              <a:t>8,80,00,000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8</xdr:col>
      <xdr:colOff>475827</xdr:colOff>
      <xdr:row>0</xdr:row>
      <xdr:rowOff>129540</xdr:rowOff>
    </xdr:from>
    <xdr:to>
      <xdr:col>17</xdr:col>
      <xdr:colOff>135467</xdr:colOff>
      <xdr:row>11</xdr:row>
      <xdr:rowOff>129540</xdr:rowOff>
    </xdr:to>
    <xdr:sp macro="" textlink="">
      <xdr:nvSpPr>
        <xdr:cNvPr id="55" name="Rectangle: Rounded Corners 54">
          <a:extLst>
            <a:ext uri="{FF2B5EF4-FFF2-40B4-BE49-F238E27FC236}">
              <a16:creationId xmlns:a16="http://schemas.microsoft.com/office/drawing/2014/main" id="{2E8D53D1-C1E5-4970-AB17-60205792B5BB}"/>
            </a:ext>
          </a:extLst>
        </xdr:cNvPr>
        <xdr:cNvSpPr/>
      </xdr:nvSpPr>
      <xdr:spPr>
        <a:xfrm>
          <a:off x="5352627" y="129540"/>
          <a:ext cx="514604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481751</xdr:colOff>
      <xdr:row>2</xdr:row>
      <xdr:rowOff>167640</xdr:rowOff>
    </xdr:from>
    <xdr:to>
      <xdr:col>17</xdr:col>
      <xdr:colOff>283631</xdr:colOff>
      <xdr:row>8</xdr:row>
      <xdr:rowOff>45720</xdr:rowOff>
    </xdr:to>
    <xdr:graphicFrame macro="">
      <xdr:nvGraphicFramePr>
        <xdr:cNvPr id="57" name="Chart 56">
          <a:extLst>
            <a:ext uri="{FF2B5EF4-FFF2-40B4-BE49-F238E27FC236}">
              <a16:creationId xmlns:a16="http://schemas.microsoft.com/office/drawing/2014/main" id="{3F64CD61-76DA-4201-9C5D-BA742152F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326475</xdr:colOff>
      <xdr:row>7</xdr:row>
      <xdr:rowOff>153247</xdr:rowOff>
    </xdr:from>
    <xdr:to>
      <xdr:col>11</xdr:col>
      <xdr:colOff>326475</xdr:colOff>
      <xdr:row>11</xdr:row>
      <xdr:rowOff>92287</xdr:rowOff>
    </xdr:to>
    <xdr:grpSp>
      <xdr:nvGrpSpPr>
        <xdr:cNvPr id="60" name="Group 59">
          <a:extLst>
            <a:ext uri="{FF2B5EF4-FFF2-40B4-BE49-F238E27FC236}">
              <a16:creationId xmlns:a16="http://schemas.microsoft.com/office/drawing/2014/main" id="{120E4020-2200-4022-90C1-C1E77459A68E}"/>
            </a:ext>
          </a:extLst>
        </xdr:cNvPr>
        <xdr:cNvGrpSpPr/>
      </xdr:nvGrpSpPr>
      <xdr:grpSpPr>
        <a:xfrm>
          <a:off x="5812875" y="1457114"/>
          <a:ext cx="1219200" cy="684106"/>
          <a:chOff x="6266688" y="1363980"/>
          <a:chExt cx="1219200" cy="670560"/>
        </a:xfrm>
      </xdr:grpSpPr>
      <xdr:sp macro="" textlink="">
        <xdr:nvSpPr>
          <xdr:cNvPr id="58" name="TextBox 57">
            <a:extLst>
              <a:ext uri="{FF2B5EF4-FFF2-40B4-BE49-F238E27FC236}">
                <a16:creationId xmlns:a16="http://schemas.microsoft.com/office/drawing/2014/main" id="{7D46ECDC-70B6-4252-8AA3-D8D8EC7C0A41}"/>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ysClr val="windowText" lastClr="000000"/>
                </a:solidFill>
                <a:latin typeface="+mn-lt"/>
                <a:cs typeface="Aharoni" panose="02010803020104030203" pitchFamily="2" charset="-79"/>
              </a:rPr>
              <a:t>Highest</a:t>
            </a:r>
            <a:endParaRPr lang="en-IN" sz="1050" b="1" baseline="0">
              <a:solidFill>
                <a:sysClr val="windowText" lastClr="000000"/>
              </a:solidFill>
              <a:latin typeface="+mn-lt"/>
              <a:cs typeface="Aharoni" panose="02010803020104030203" pitchFamily="2" charset="-79"/>
            </a:endParaRP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5">
        <xdr:nvSpPr>
          <xdr:cNvPr id="59" name="TextBox 58">
            <a:extLst>
              <a:ext uri="{FF2B5EF4-FFF2-40B4-BE49-F238E27FC236}">
                <a16:creationId xmlns:a16="http://schemas.microsoft.com/office/drawing/2014/main" id="{FF750AD2-D0E9-4EA2-A3AD-19BEB6228240}"/>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C11725-94DE-4DBD-A26E-D2A29C6C4209}" type="TxLink">
              <a:rPr lang="en-US" sz="1100" b="0" i="0" u="none" strike="noStrike">
                <a:solidFill>
                  <a:schemeClr val="tx1">
                    <a:lumMod val="50000"/>
                    <a:lumOff val="50000"/>
                  </a:schemeClr>
                </a:solidFill>
                <a:latin typeface="Arial"/>
                <a:cs typeface="Arial"/>
              </a:rPr>
              <a:pPr algn="ctr"/>
              <a:t>3,80,90,00,000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12</xdr:col>
      <xdr:colOff>185505</xdr:colOff>
      <xdr:row>7</xdr:row>
      <xdr:rowOff>144780</xdr:rowOff>
    </xdr:from>
    <xdr:to>
      <xdr:col>14</xdr:col>
      <xdr:colOff>185505</xdr:colOff>
      <xdr:row>11</xdr:row>
      <xdr:rowOff>83820</xdr:rowOff>
    </xdr:to>
    <xdr:grpSp>
      <xdr:nvGrpSpPr>
        <xdr:cNvPr id="65" name="Group 64">
          <a:extLst>
            <a:ext uri="{FF2B5EF4-FFF2-40B4-BE49-F238E27FC236}">
              <a16:creationId xmlns:a16="http://schemas.microsoft.com/office/drawing/2014/main" id="{A98FFC62-E601-4322-9D53-573B27D241BE}"/>
            </a:ext>
          </a:extLst>
        </xdr:cNvPr>
        <xdr:cNvGrpSpPr/>
      </xdr:nvGrpSpPr>
      <xdr:grpSpPr>
        <a:xfrm>
          <a:off x="7500705" y="1448647"/>
          <a:ext cx="1219200" cy="684106"/>
          <a:chOff x="6266688" y="1363980"/>
          <a:chExt cx="1219200" cy="670560"/>
        </a:xfrm>
      </xdr:grpSpPr>
      <xdr:sp macro="" textlink="">
        <xdr:nvSpPr>
          <xdr:cNvPr id="66" name="TextBox 65">
            <a:extLst>
              <a:ext uri="{FF2B5EF4-FFF2-40B4-BE49-F238E27FC236}">
                <a16:creationId xmlns:a16="http://schemas.microsoft.com/office/drawing/2014/main" id="{223F250F-6D1C-4F26-B572-7EC9FD0627E9}"/>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Average</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6">
        <xdr:nvSpPr>
          <xdr:cNvPr id="67" name="TextBox 66">
            <a:extLst>
              <a:ext uri="{FF2B5EF4-FFF2-40B4-BE49-F238E27FC236}">
                <a16:creationId xmlns:a16="http://schemas.microsoft.com/office/drawing/2014/main" id="{148489C7-571B-4EAF-9B07-D2036C88295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0501FB-E43D-4960-AEE2-2D1921984B86}" type="TxLink">
              <a:rPr lang="en-US" sz="1100" b="0" i="0" u="none" strike="noStrike">
                <a:solidFill>
                  <a:schemeClr val="tx1">
                    <a:lumMod val="50000"/>
                    <a:lumOff val="50000"/>
                  </a:schemeClr>
                </a:solidFill>
                <a:latin typeface="Arial"/>
                <a:cs typeface="Arial"/>
              </a:rPr>
              <a:pPr algn="ctr"/>
              <a:t>1,33,25,00,000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44535</xdr:colOff>
      <xdr:row>7</xdr:row>
      <xdr:rowOff>153244</xdr:rowOff>
    </xdr:from>
    <xdr:to>
      <xdr:col>17</xdr:col>
      <xdr:colOff>44535</xdr:colOff>
      <xdr:row>11</xdr:row>
      <xdr:rowOff>92284</xdr:rowOff>
    </xdr:to>
    <xdr:grpSp>
      <xdr:nvGrpSpPr>
        <xdr:cNvPr id="68" name="Group 67">
          <a:extLst>
            <a:ext uri="{FF2B5EF4-FFF2-40B4-BE49-F238E27FC236}">
              <a16:creationId xmlns:a16="http://schemas.microsoft.com/office/drawing/2014/main" id="{38FC6F96-C0E7-45EA-A4C3-7EB9318B12D9}"/>
            </a:ext>
          </a:extLst>
        </xdr:cNvPr>
        <xdr:cNvGrpSpPr/>
      </xdr:nvGrpSpPr>
      <xdr:grpSpPr>
        <a:xfrm>
          <a:off x="9188535" y="1457111"/>
          <a:ext cx="1219200" cy="684106"/>
          <a:chOff x="6266688" y="1363980"/>
          <a:chExt cx="1219200" cy="670560"/>
        </a:xfrm>
      </xdr:grpSpPr>
      <xdr:sp macro="" textlink="">
        <xdr:nvSpPr>
          <xdr:cNvPr id="69" name="TextBox 68">
            <a:extLst>
              <a:ext uri="{FF2B5EF4-FFF2-40B4-BE49-F238E27FC236}">
                <a16:creationId xmlns:a16="http://schemas.microsoft.com/office/drawing/2014/main" id="{EB532132-4F95-4DA1-A953-532F03A7E324}"/>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Minimum</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7">
        <xdr:nvSpPr>
          <xdr:cNvPr id="70" name="TextBox 69">
            <a:extLst>
              <a:ext uri="{FF2B5EF4-FFF2-40B4-BE49-F238E27FC236}">
                <a16:creationId xmlns:a16="http://schemas.microsoft.com/office/drawing/2014/main" id="{2C4BED4B-D167-4C65-B0BA-F9F319BECEF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AA7655-C468-421F-971D-04508BED01B7}" type="TxLink">
              <a:rPr lang="en-US" sz="1100" b="0" i="0" u="none" strike="noStrike">
                <a:solidFill>
                  <a:schemeClr val="tx1">
                    <a:lumMod val="50000"/>
                    <a:lumOff val="50000"/>
                  </a:schemeClr>
                </a:solidFill>
                <a:latin typeface="Arial"/>
                <a:cs typeface="Arial"/>
              </a:rPr>
              <a:pPr algn="ctr"/>
              <a:t>11,60,00,000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200662</xdr:colOff>
      <xdr:row>8</xdr:row>
      <xdr:rowOff>106681</xdr:rowOff>
    </xdr:from>
    <xdr:to>
      <xdr:col>15</xdr:col>
      <xdr:colOff>313509</xdr:colOff>
      <xdr:row>8</xdr:row>
      <xdr:rowOff>167640</xdr:rowOff>
    </xdr:to>
    <xdr:sp macro="" textlink="">
      <xdr:nvSpPr>
        <xdr:cNvPr id="71" name="Freeform 355">
          <a:extLst>
            <a:ext uri="{FF2B5EF4-FFF2-40B4-BE49-F238E27FC236}">
              <a16:creationId xmlns:a16="http://schemas.microsoft.com/office/drawing/2014/main" id="{661F8A74-DE40-466D-9F49-198814C6D2A3}"/>
            </a:ext>
          </a:extLst>
        </xdr:cNvPr>
        <xdr:cNvSpPr>
          <a:spLocks/>
        </xdr:cNvSpPr>
      </xdr:nvSpPr>
      <xdr:spPr bwMode="auto">
        <a:xfrm>
          <a:off x="9344662" y="159681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FF0000"/>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9</xdr:col>
      <xdr:colOff>504613</xdr:colOff>
      <xdr:row>8</xdr:row>
      <xdr:rowOff>99061</xdr:rowOff>
    </xdr:from>
    <xdr:to>
      <xdr:col>10</xdr:col>
      <xdr:colOff>7860</xdr:colOff>
      <xdr:row>8</xdr:row>
      <xdr:rowOff>160020</xdr:rowOff>
    </xdr:to>
    <xdr:sp macro="" textlink="">
      <xdr:nvSpPr>
        <xdr:cNvPr id="72" name="Freeform 355">
          <a:extLst>
            <a:ext uri="{FF2B5EF4-FFF2-40B4-BE49-F238E27FC236}">
              <a16:creationId xmlns:a16="http://schemas.microsoft.com/office/drawing/2014/main" id="{6447B5B2-07BE-4AA1-AA36-B96B68B92B0C}"/>
            </a:ext>
          </a:extLst>
        </xdr:cNvPr>
        <xdr:cNvSpPr>
          <a:spLocks/>
        </xdr:cNvSpPr>
      </xdr:nvSpPr>
      <xdr:spPr bwMode="auto">
        <a:xfrm rot="10800000">
          <a:off x="5991013" y="158919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00B626"/>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17</xdr:col>
      <xdr:colOff>232831</xdr:colOff>
      <xdr:row>0</xdr:row>
      <xdr:rowOff>129540</xdr:rowOff>
    </xdr:from>
    <xdr:to>
      <xdr:col>20</xdr:col>
      <xdr:colOff>202351</xdr:colOff>
      <xdr:row>11</xdr:row>
      <xdr:rowOff>129540</xdr:rowOff>
    </xdr:to>
    <xdr:sp macro="" textlink="">
      <xdr:nvSpPr>
        <xdr:cNvPr id="75" name="Rectangle: Rounded Corners 74">
          <a:extLst>
            <a:ext uri="{FF2B5EF4-FFF2-40B4-BE49-F238E27FC236}">
              <a16:creationId xmlns:a16="http://schemas.microsoft.com/office/drawing/2014/main" id="{BA7A42D2-4894-4533-A52B-2EAFFFD648D3}"/>
            </a:ext>
          </a:extLst>
        </xdr:cNvPr>
        <xdr:cNvSpPr/>
      </xdr:nvSpPr>
      <xdr:spPr>
        <a:xfrm>
          <a:off x="10596031"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571921</xdr:colOff>
      <xdr:row>0</xdr:row>
      <xdr:rowOff>129540</xdr:rowOff>
    </xdr:from>
    <xdr:to>
      <xdr:col>19</xdr:col>
      <xdr:colOff>251881</xdr:colOff>
      <xdr:row>5</xdr:row>
      <xdr:rowOff>166116</xdr:rowOff>
    </xdr:to>
    <xdr:graphicFrame macro="">
      <xdr:nvGraphicFramePr>
        <xdr:cNvPr id="73" name="Chart 72">
          <a:extLst>
            <a:ext uri="{FF2B5EF4-FFF2-40B4-BE49-F238E27FC236}">
              <a16:creationId xmlns:a16="http://schemas.microsoft.com/office/drawing/2014/main" id="{0DBFEAA0-3CCA-4DE4-BA33-08537F6D8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571921</xdr:colOff>
      <xdr:row>6</xdr:row>
      <xdr:rowOff>91440</xdr:rowOff>
    </xdr:from>
    <xdr:to>
      <xdr:col>19</xdr:col>
      <xdr:colOff>251881</xdr:colOff>
      <xdr:row>11</xdr:row>
      <xdr:rowOff>128016</xdr:rowOff>
    </xdr:to>
    <xdr:graphicFrame macro="">
      <xdr:nvGraphicFramePr>
        <xdr:cNvPr id="74" name="Chart 73">
          <a:extLst>
            <a:ext uri="{FF2B5EF4-FFF2-40B4-BE49-F238E27FC236}">
              <a16:creationId xmlns:a16="http://schemas.microsoft.com/office/drawing/2014/main" id="{AACFD206-86FB-4D4F-899A-C495F1186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479719</xdr:colOff>
      <xdr:row>1</xdr:row>
      <xdr:rowOff>114300</xdr:rowOff>
    </xdr:from>
    <xdr:to>
      <xdr:col>20</xdr:col>
      <xdr:colOff>479719</xdr:colOff>
      <xdr:row>3</xdr:row>
      <xdr:rowOff>45720</xdr:rowOff>
    </xdr:to>
    <xdr:sp macro="" textlink="">
      <xdr:nvSpPr>
        <xdr:cNvPr id="77" name="TextBox 76">
          <a:extLst>
            <a:ext uri="{FF2B5EF4-FFF2-40B4-BE49-F238E27FC236}">
              <a16:creationId xmlns:a16="http://schemas.microsoft.com/office/drawing/2014/main" id="{6A980AB6-CAC9-40D7-8439-86700B749C3B}"/>
            </a:ext>
          </a:extLst>
        </xdr:cNvPr>
        <xdr:cNvSpPr txBox="1"/>
      </xdr:nvSpPr>
      <xdr:spPr>
        <a:xfrm>
          <a:off x="11452519" y="3005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487339</xdr:colOff>
      <xdr:row>7</xdr:row>
      <xdr:rowOff>76200</xdr:rowOff>
    </xdr:from>
    <xdr:to>
      <xdr:col>20</xdr:col>
      <xdr:colOff>487339</xdr:colOff>
      <xdr:row>9</xdr:row>
      <xdr:rowOff>7620</xdr:rowOff>
    </xdr:to>
    <xdr:sp macro="" textlink="">
      <xdr:nvSpPr>
        <xdr:cNvPr id="78" name="TextBox 77">
          <a:extLst>
            <a:ext uri="{FF2B5EF4-FFF2-40B4-BE49-F238E27FC236}">
              <a16:creationId xmlns:a16="http://schemas.microsoft.com/office/drawing/2014/main" id="{90AA9735-74B5-4372-B518-21A4D1C87BF3}"/>
            </a:ext>
          </a:extLst>
        </xdr:cNvPr>
        <xdr:cNvSpPr txBox="1"/>
      </xdr:nvSpPr>
      <xdr:spPr>
        <a:xfrm>
          <a:off x="11460139" y="13800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Unpaid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318341</xdr:colOff>
      <xdr:row>6</xdr:row>
      <xdr:rowOff>22860</xdr:rowOff>
    </xdr:from>
    <xdr:to>
      <xdr:col>20</xdr:col>
      <xdr:colOff>120221</xdr:colOff>
      <xdr:row>6</xdr:row>
      <xdr:rowOff>22860</xdr:rowOff>
    </xdr:to>
    <xdr:cxnSp macro="">
      <xdr:nvCxnSpPr>
        <xdr:cNvPr id="80" name="Straight Connector 79">
          <a:extLst>
            <a:ext uri="{FF2B5EF4-FFF2-40B4-BE49-F238E27FC236}">
              <a16:creationId xmlns:a16="http://schemas.microsoft.com/office/drawing/2014/main" id="{34FA9853-83EA-4827-8177-8BAA8B662598}"/>
            </a:ext>
          </a:extLst>
        </xdr:cNvPr>
        <xdr:cNvCxnSpPr/>
      </xdr:nvCxnSpPr>
      <xdr:spPr>
        <a:xfrm>
          <a:off x="10681541" y="1140460"/>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17</xdr:col>
      <xdr:colOff>222925</xdr:colOff>
      <xdr:row>2</xdr:row>
      <xdr:rowOff>90678</xdr:rowOff>
    </xdr:from>
    <xdr:to>
      <xdr:col>18</xdr:col>
      <xdr:colOff>600877</xdr:colOff>
      <xdr:row>4</xdr:row>
      <xdr:rowOff>22098</xdr:rowOff>
    </xdr:to>
    <xdr:sp macro="" textlink="Pivot_tables!AF6">
      <xdr:nvSpPr>
        <xdr:cNvPr id="90" name="TextBox 89">
          <a:extLst>
            <a:ext uri="{FF2B5EF4-FFF2-40B4-BE49-F238E27FC236}">
              <a16:creationId xmlns:a16="http://schemas.microsoft.com/office/drawing/2014/main" id="{FAE3C2BE-C9A4-4E75-9683-F617AF08E12D}"/>
            </a:ext>
          </a:extLst>
        </xdr:cNvPr>
        <xdr:cNvSpPr txBox="1"/>
      </xdr:nvSpPr>
      <xdr:spPr>
        <a:xfrm>
          <a:off x="10586125" y="46321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4FEB55-4812-48DC-A750-FAB15C0F8FB1}" type="TxLink">
            <a:rPr lang="en-US" sz="1100" b="0" i="0" u="none" strike="noStrike">
              <a:solidFill>
                <a:srgbClr val="000000"/>
              </a:solidFill>
              <a:latin typeface="Arial"/>
              <a:cs typeface="Arial"/>
            </a:rPr>
            <a:pPr algn="ctr"/>
            <a:t>79%</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222925</xdr:colOff>
      <xdr:row>8</xdr:row>
      <xdr:rowOff>52578</xdr:rowOff>
    </xdr:from>
    <xdr:to>
      <xdr:col>18</xdr:col>
      <xdr:colOff>600877</xdr:colOff>
      <xdr:row>9</xdr:row>
      <xdr:rowOff>166878</xdr:rowOff>
    </xdr:to>
    <xdr:sp macro="" textlink="Pivot_tables!AF5">
      <xdr:nvSpPr>
        <xdr:cNvPr id="91" name="TextBox 90">
          <a:extLst>
            <a:ext uri="{FF2B5EF4-FFF2-40B4-BE49-F238E27FC236}">
              <a16:creationId xmlns:a16="http://schemas.microsoft.com/office/drawing/2014/main" id="{93DF8B94-1C94-4B98-8F96-3E4006F1E9AA}"/>
            </a:ext>
          </a:extLst>
        </xdr:cNvPr>
        <xdr:cNvSpPr txBox="1"/>
      </xdr:nvSpPr>
      <xdr:spPr>
        <a:xfrm>
          <a:off x="10586125" y="1542711"/>
          <a:ext cx="98755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995639-126C-45E1-8F10-7D03B9C923AC}" type="TxLink">
            <a:rPr lang="en-US" sz="1100" b="0" i="0" u="none" strike="noStrike">
              <a:solidFill>
                <a:srgbClr val="000000"/>
              </a:solidFill>
              <a:latin typeface="Arial"/>
              <a:cs typeface="Arial"/>
            </a:rPr>
            <a:pPr algn="ctr"/>
            <a:t>21%</a:t>
          </a:fld>
          <a:endParaRPr lang="en-US"/>
        </a:p>
      </xdr:txBody>
    </xdr:sp>
    <xdr:clientData/>
  </xdr:twoCellAnchor>
  <xdr:twoCellAnchor editAs="absolute">
    <xdr:from>
      <xdr:col>18</xdr:col>
      <xdr:colOff>451525</xdr:colOff>
      <xdr:row>2</xdr:row>
      <xdr:rowOff>144018</xdr:rowOff>
    </xdr:from>
    <xdr:to>
      <xdr:col>20</xdr:col>
      <xdr:colOff>219877</xdr:colOff>
      <xdr:row>4</xdr:row>
      <xdr:rowOff>75438</xdr:rowOff>
    </xdr:to>
    <xdr:sp macro="" textlink="Pivot_tables!AE6">
      <xdr:nvSpPr>
        <xdr:cNvPr id="92" name="TextBox 91">
          <a:extLst>
            <a:ext uri="{FF2B5EF4-FFF2-40B4-BE49-F238E27FC236}">
              <a16:creationId xmlns:a16="http://schemas.microsoft.com/office/drawing/2014/main" id="{4307E7F7-0AA0-47E6-8BB7-57847034F1CE}"/>
            </a:ext>
          </a:extLst>
        </xdr:cNvPr>
        <xdr:cNvSpPr txBox="1"/>
      </xdr:nvSpPr>
      <xdr:spPr>
        <a:xfrm>
          <a:off x="11424325" y="5165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8DDD04-5644-4B42-BC01-27A1BBF182F0}" type="TxLink">
            <a:rPr lang="en-US" sz="1100" b="0" i="0" u="none" strike="noStrike">
              <a:solidFill>
                <a:srgbClr val="000000"/>
              </a:solidFill>
              <a:latin typeface="Arial"/>
              <a:cs typeface="Arial"/>
            </a:rPr>
            <a:pPr algn="l"/>
            <a:t> 54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451525</xdr:colOff>
      <xdr:row>8</xdr:row>
      <xdr:rowOff>105918</xdr:rowOff>
    </xdr:from>
    <xdr:to>
      <xdr:col>20</xdr:col>
      <xdr:colOff>219877</xdr:colOff>
      <xdr:row>10</xdr:row>
      <xdr:rowOff>37338</xdr:rowOff>
    </xdr:to>
    <xdr:sp macro="" textlink="Pivot_tables!AE5">
      <xdr:nvSpPr>
        <xdr:cNvPr id="93" name="TextBox 92">
          <a:extLst>
            <a:ext uri="{FF2B5EF4-FFF2-40B4-BE49-F238E27FC236}">
              <a16:creationId xmlns:a16="http://schemas.microsoft.com/office/drawing/2014/main" id="{AC6A82C1-03D0-425D-86C2-4FACE1109EEF}"/>
            </a:ext>
          </a:extLst>
        </xdr:cNvPr>
        <xdr:cNvSpPr txBox="1"/>
      </xdr:nvSpPr>
      <xdr:spPr>
        <a:xfrm>
          <a:off x="11424325" y="15960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1BC9C6D-006D-4F45-B97D-C6EEE50759E2}" type="TxLink">
            <a:rPr lang="en-US" sz="1100" b="0" i="0" u="none" strike="noStrike">
              <a:solidFill>
                <a:srgbClr val="000000"/>
              </a:solidFill>
              <a:latin typeface="Arial"/>
              <a:cs typeface="Arial"/>
            </a:rPr>
            <a:pPr algn="l"/>
            <a:t> 14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502579</xdr:colOff>
      <xdr:row>3</xdr:row>
      <xdr:rowOff>121920</xdr:rowOff>
    </xdr:from>
    <xdr:to>
      <xdr:col>20</xdr:col>
      <xdr:colOff>502579</xdr:colOff>
      <xdr:row>5</xdr:row>
      <xdr:rowOff>53340</xdr:rowOff>
    </xdr:to>
    <xdr:sp macro="" textlink="">
      <xdr:nvSpPr>
        <xdr:cNvPr id="94" name="TextBox 93">
          <a:extLst>
            <a:ext uri="{FF2B5EF4-FFF2-40B4-BE49-F238E27FC236}">
              <a16:creationId xmlns:a16="http://schemas.microsoft.com/office/drawing/2014/main" id="{41938E7D-909D-4404-BDE9-95EA7D23D6B2}"/>
            </a:ext>
          </a:extLst>
        </xdr:cNvPr>
        <xdr:cNvSpPr txBox="1"/>
      </xdr:nvSpPr>
      <xdr:spPr>
        <a:xfrm>
          <a:off x="11475379" y="6807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18</xdr:col>
      <xdr:colOff>502579</xdr:colOff>
      <xdr:row>9</xdr:row>
      <xdr:rowOff>83820</xdr:rowOff>
    </xdr:from>
    <xdr:to>
      <xdr:col>20</xdr:col>
      <xdr:colOff>502579</xdr:colOff>
      <xdr:row>11</xdr:row>
      <xdr:rowOff>15240</xdr:rowOff>
    </xdr:to>
    <xdr:sp macro="" textlink="">
      <xdr:nvSpPr>
        <xdr:cNvPr id="96" name="TextBox 95">
          <a:extLst>
            <a:ext uri="{FF2B5EF4-FFF2-40B4-BE49-F238E27FC236}">
              <a16:creationId xmlns:a16="http://schemas.microsoft.com/office/drawing/2014/main" id="{33532737-7E5A-42E0-936A-EED65C4E76A0}"/>
            </a:ext>
          </a:extLst>
        </xdr:cNvPr>
        <xdr:cNvSpPr txBox="1"/>
      </xdr:nvSpPr>
      <xdr:spPr>
        <a:xfrm>
          <a:off x="11475379" y="17602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20</xdr:col>
      <xdr:colOff>292944</xdr:colOff>
      <xdr:row>0</xdr:row>
      <xdr:rowOff>129540</xdr:rowOff>
    </xdr:from>
    <xdr:to>
      <xdr:col>23</xdr:col>
      <xdr:colOff>237064</xdr:colOff>
      <xdr:row>11</xdr:row>
      <xdr:rowOff>129540</xdr:rowOff>
    </xdr:to>
    <xdr:sp macro="" textlink="">
      <xdr:nvSpPr>
        <xdr:cNvPr id="97" name="Rectangle: Rounded Corners 96">
          <a:extLst>
            <a:ext uri="{FF2B5EF4-FFF2-40B4-BE49-F238E27FC236}">
              <a16:creationId xmlns:a16="http://schemas.microsoft.com/office/drawing/2014/main" id="{8BBC7732-2956-45C5-80D4-4BC72B10C31B}"/>
            </a:ext>
          </a:extLst>
        </xdr:cNvPr>
        <xdr:cNvSpPr/>
      </xdr:nvSpPr>
      <xdr:spPr>
        <a:xfrm>
          <a:off x="12484944" y="129540"/>
          <a:ext cx="1772920" cy="2048933"/>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20</xdr:col>
      <xdr:colOff>379304</xdr:colOff>
      <xdr:row>4</xdr:row>
      <xdr:rowOff>0</xdr:rowOff>
    </xdr:from>
    <xdr:to>
      <xdr:col>23</xdr:col>
      <xdr:colOff>150704</xdr:colOff>
      <xdr:row>11</xdr:row>
      <xdr:rowOff>30480</xdr:rowOff>
    </xdr:to>
    <mc:AlternateContent xmlns:mc="http://schemas.openxmlformats.org/markup-compatibility/2006" xmlns:a14="http://schemas.microsoft.com/office/drawing/2010/main">
      <mc:Choice Requires="a14">
        <xdr:graphicFrame macro="">
          <xdr:nvGraphicFramePr>
            <xdr:cNvPr id="98" name="Month">
              <a:extLst>
                <a:ext uri="{FF2B5EF4-FFF2-40B4-BE49-F238E27FC236}">
                  <a16:creationId xmlns:a16="http://schemas.microsoft.com/office/drawing/2014/main" id="{03446874-89E2-4445-9FCC-916AA9275D2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571304" y="745067"/>
              <a:ext cx="1600200" cy="13343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20</xdr:col>
      <xdr:colOff>456012</xdr:colOff>
      <xdr:row>1</xdr:row>
      <xdr:rowOff>83820</xdr:rowOff>
    </xdr:from>
    <xdr:to>
      <xdr:col>22</xdr:col>
      <xdr:colOff>456012</xdr:colOff>
      <xdr:row>3</xdr:row>
      <xdr:rowOff>129540</xdr:rowOff>
    </xdr:to>
    <xdr:sp macro="" textlink="">
      <xdr:nvSpPr>
        <xdr:cNvPr id="99" name="TextBox 98">
          <a:extLst>
            <a:ext uri="{FF2B5EF4-FFF2-40B4-BE49-F238E27FC236}">
              <a16:creationId xmlns:a16="http://schemas.microsoft.com/office/drawing/2014/main" id="{FAF6CD88-5906-456F-9E23-6FA21EC66840}"/>
            </a:ext>
          </a:extLst>
        </xdr:cNvPr>
        <xdr:cNvSpPr txBox="1"/>
      </xdr:nvSpPr>
      <xdr:spPr>
        <a:xfrm>
          <a:off x="12648012" y="270087"/>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solidFill>
              <a:latin typeface="+mn-lt"/>
              <a:cs typeface="Aharoni" panose="02010803020104030203" pitchFamily="2" charset="-79"/>
            </a:rPr>
            <a:t>Monthly</a:t>
          </a:r>
        </a:p>
        <a:p>
          <a:pPr algn="l"/>
          <a:r>
            <a:rPr lang="en-IN" sz="900" b="1">
              <a:solidFill>
                <a:schemeClr val="bg1"/>
              </a:solidFill>
              <a:latin typeface="+mn-lt"/>
              <a:cs typeface="Aharoni" panose="02010803020104030203" pitchFamily="2" charset="-79"/>
            </a:rPr>
            <a:t>Slicer</a:t>
          </a:r>
        </a:p>
      </xdr:txBody>
    </xdr:sp>
    <xdr:clientData/>
  </xdr:twoCellAnchor>
  <xdr:twoCellAnchor editAs="absolute">
    <xdr:from>
      <xdr:col>20</xdr:col>
      <xdr:colOff>526624</xdr:colOff>
      <xdr:row>4</xdr:row>
      <xdr:rowOff>0</xdr:rowOff>
    </xdr:from>
    <xdr:to>
      <xdr:col>22</xdr:col>
      <xdr:colOff>141052</xdr:colOff>
      <xdr:row>4</xdr:row>
      <xdr:rowOff>0</xdr:rowOff>
    </xdr:to>
    <xdr:cxnSp macro="">
      <xdr:nvCxnSpPr>
        <xdr:cNvPr id="100" name="Straight Connector 99">
          <a:extLst>
            <a:ext uri="{FF2B5EF4-FFF2-40B4-BE49-F238E27FC236}">
              <a16:creationId xmlns:a16="http://schemas.microsoft.com/office/drawing/2014/main" id="{3FB64DC8-AA62-4183-896C-F86EEB16AFEB}"/>
            </a:ext>
          </a:extLst>
        </xdr:cNvPr>
        <xdr:cNvCxnSpPr/>
      </xdr:nvCxnSpPr>
      <xdr:spPr>
        <a:xfrm>
          <a:off x="12718624" y="745067"/>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22</xdr:col>
      <xdr:colOff>542704</xdr:colOff>
      <xdr:row>1</xdr:row>
      <xdr:rowOff>76200</xdr:rowOff>
    </xdr:from>
    <xdr:to>
      <xdr:col>23</xdr:col>
      <xdr:colOff>131224</xdr:colOff>
      <xdr:row>2</xdr:row>
      <xdr:rowOff>91440</xdr:rowOff>
    </xdr:to>
    <xdr:sp macro="" textlink="">
      <xdr:nvSpPr>
        <xdr:cNvPr id="103" name="Freeform 214">
          <a:hlinkClick xmlns:r="http://schemas.openxmlformats.org/officeDocument/2006/relationships" r:id="rId8" tooltip="Go to Database"/>
          <a:extLst>
            <a:ext uri="{FF2B5EF4-FFF2-40B4-BE49-F238E27FC236}">
              <a16:creationId xmlns:a16="http://schemas.microsoft.com/office/drawing/2014/main" id="{ACC39E46-ED6E-40D0-B889-3E5E9C05ED8E}"/>
            </a:ext>
          </a:extLst>
        </xdr:cNvPr>
        <xdr:cNvSpPr>
          <a:spLocks noEditPoints="1"/>
        </xdr:cNvSpPr>
      </xdr:nvSpPr>
      <xdr:spPr bwMode="auto">
        <a:xfrm>
          <a:off x="13953904" y="262467"/>
          <a:ext cx="198120" cy="201506"/>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twoCellAnchor editAs="absolute">
    <xdr:from>
      <xdr:col>9</xdr:col>
      <xdr:colOff>26247</xdr:colOff>
      <xdr:row>1</xdr:row>
      <xdr:rowOff>114300</xdr:rowOff>
    </xdr:from>
    <xdr:to>
      <xdr:col>12</xdr:col>
      <xdr:colOff>87207</xdr:colOff>
      <xdr:row>2</xdr:row>
      <xdr:rowOff>160020</xdr:rowOff>
    </xdr:to>
    <xdr:sp macro="" textlink="">
      <xdr:nvSpPr>
        <xdr:cNvPr id="56" name="TextBox 55">
          <a:extLst>
            <a:ext uri="{FF2B5EF4-FFF2-40B4-BE49-F238E27FC236}">
              <a16:creationId xmlns:a16="http://schemas.microsoft.com/office/drawing/2014/main" id="{4E4559B0-D8D6-42AB-9483-6243DF7B82E1}"/>
            </a:ext>
          </a:extLst>
        </xdr:cNvPr>
        <xdr:cNvSpPr txBox="1"/>
      </xdr:nvSpPr>
      <xdr:spPr>
        <a:xfrm>
          <a:off x="5512647" y="300567"/>
          <a:ext cx="1889760" cy="231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Total Earnings by Months</a:t>
          </a:r>
          <a:r>
            <a:rPr lang="en-IN" sz="1050" b="1" baseline="0">
              <a:solidFill>
                <a:schemeClr val="bg2">
                  <a:lumMod val="25000"/>
                </a:schemeClr>
              </a:solidFill>
              <a:latin typeface="+mn-lt"/>
              <a:cs typeface="Aharoni" panose="02010803020104030203" pitchFamily="2" charset="-79"/>
            </a:rPr>
            <a:t> </a:t>
          </a:r>
        </a:p>
      </xdr:txBody>
    </xdr:sp>
    <xdr:clientData/>
  </xdr:twoCellAnchor>
  <xdr:twoCellAnchor editAs="absolute">
    <xdr:from>
      <xdr:col>23</xdr:col>
      <xdr:colOff>334431</xdr:colOff>
      <xdr:row>0</xdr:row>
      <xdr:rowOff>129540</xdr:rowOff>
    </xdr:from>
    <xdr:to>
      <xdr:col>26</xdr:col>
      <xdr:colOff>303951</xdr:colOff>
      <xdr:row>11</xdr:row>
      <xdr:rowOff>129540</xdr:rowOff>
    </xdr:to>
    <xdr:sp macro="" textlink="">
      <xdr:nvSpPr>
        <xdr:cNvPr id="105" name="Rectangle: Rounded Corners 104">
          <a:extLst>
            <a:ext uri="{FF2B5EF4-FFF2-40B4-BE49-F238E27FC236}">
              <a16:creationId xmlns:a16="http://schemas.microsoft.com/office/drawing/2014/main" id="{7B3C4F11-C371-4BC3-BA43-9BD6CD18D2B7}"/>
            </a:ext>
          </a:extLst>
        </xdr:cNvPr>
        <xdr:cNvSpPr/>
      </xdr:nvSpPr>
      <xdr:spPr>
        <a:xfrm>
          <a:off x="14355231"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23</xdr:col>
      <xdr:colOff>406397</xdr:colOff>
      <xdr:row>4</xdr:row>
      <xdr:rowOff>8465</xdr:rowOff>
    </xdr:from>
    <xdr:to>
      <xdr:col>26</xdr:col>
      <xdr:colOff>203197</xdr:colOff>
      <xdr:row>11</xdr:row>
      <xdr:rowOff>33866</xdr:rowOff>
    </xdr:to>
    <xdr:graphicFrame macro="">
      <xdr:nvGraphicFramePr>
        <xdr:cNvPr id="104" name="Chart 103">
          <a:extLst>
            <a:ext uri="{FF2B5EF4-FFF2-40B4-BE49-F238E27FC236}">
              <a16:creationId xmlns:a16="http://schemas.microsoft.com/office/drawing/2014/main" id="{84D1B7A9-2121-4B2E-915A-CBF971BBF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23</xdr:col>
      <xdr:colOff>339512</xdr:colOff>
      <xdr:row>1</xdr:row>
      <xdr:rowOff>50796</xdr:rowOff>
    </xdr:from>
    <xdr:to>
      <xdr:col>25</xdr:col>
      <xdr:colOff>584199</xdr:colOff>
      <xdr:row>2</xdr:row>
      <xdr:rowOff>66883</xdr:rowOff>
    </xdr:to>
    <xdr:sp macro="" textlink="">
      <xdr:nvSpPr>
        <xdr:cNvPr id="106" name="TextBox 105">
          <a:extLst>
            <a:ext uri="{FF2B5EF4-FFF2-40B4-BE49-F238E27FC236}">
              <a16:creationId xmlns:a16="http://schemas.microsoft.com/office/drawing/2014/main" id="{CA5EA802-0554-40E3-AFE0-4F56A023F83C}"/>
            </a:ext>
          </a:extLst>
        </xdr:cNvPr>
        <xdr:cNvSpPr txBox="1"/>
      </xdr:nvSpPr>
      <xdr:spPr>
        <a:xfrm>
          <a:off x="14360312" y="237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22</xdr:col>
      <xdr:colOff>110915</xdr:colOff>
      <xdr:row>3</xdr:row>
      <xdr:rowOff>4230</xdr:rowOff>
    </xdr:from>
    <xdr:to>
      <xdr:col>24</xdr:col>
      <xdr:colOff>355602</xdr:colOff>
      <xdr:row>4</xdr:row>
      <xdr:rowOff>20316</xdr:rowOff>
    </xdr:to>
    <xdr:sp macro="" textlink="Pivot_tables!AN5">
      <xdr:nvSpPr>
        <xdr:cNvPr id="107" name="TextBox 106">
          <a:extLst>
            <a:ext uri="{FF2B5EF4-FFF2-40B4-BE49-F238E27FC236}">
              <a16:creationId xmlns:a16="http://schemas.microsoft.com/office/drawing/2014/main" id="{8DEB79AA-B63B-4868-8408-56BE047764DE}"/>
            </a:ext>
          </a:extLst>
        </xdr:cNvPr>
        <xdr:cNvSpPr txBox="1"/>
      </xdr:nvSpPr>
      <xdr:spPr>
        <a:xfrm>
          <a:off x="13522115"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223D3C-D86B-49D0-B01C-DBF4D1A4C6F2}" type="TxLink">
            <a:rPr lang="en-US" sz="1400" b="0" i="0" u="none" strike="noStrike" baseline="0">
              <a:solidFill>
                <a:srgbClr val="4958CE"/>
              </a:solidFill>
              <a:latin typeface="Arial"/>
              <a:cs typeface="Arial"/>
            </a:rPr>
            <a:pPr algn="r"/>
            <a:t> 170 </a:t>
          </a:fld>
          <a:endParaRPr lang="en-IN" sz="1200" b="0" baseline="0">
            <a:solidFill>
              <a:srgbClr val="4958CE"/>
            </a:solidFill>
            <a:latin typeface="+mn-lt"/>
            <a:cs typeface="Aharoni" panose="02010803020104030203" pitchFamily="2" charset="-79"/>
          </a:endParaRPr>
        </a:p>
      </xdr:txBody>
    </xdr:sp>
    <xdr:clientData/>
  </xdr:twoCellAnchor>
  <xdr:twoCellAnchor editAs="absolute">
    <xdr:from>
      <xdr:col>24</xdr:col>
      <xdr:colOff>229447</xdr:colOff>
      <xdr:row>3</xdr:row>
      <xdr:rowOff>4230</xdr:rowOff>
    </xdr:from>
    <xdr:to>
      <xdr:col>26</xdr:col>
      <xdr:colOff>474134</xdr:colOff>
      <xdr:row>4</xdr:row>
      <xdr:rowOff>20316</xdr:rowOff>
    </xdr:to>
    <xdr:sp macro="" textlink="">
      <xdr:nvSpPr>
        <xdr:cNvPr id="108" name="TextBox 107">
          <a:extLst>
            <a:ext uri="{FF2B5EF4-FFF2-40B4-BE49-F238E27FC236}">
              <a16:creationId xmlns:a16="http://schemas.microsoft.com/office/drawing/2014/main" id="{DCE54BF2-E926-4F40-A320-26CAE1EEA625}"/>
            </a:ext>
          </a:extLst>
        </xdr:cNvPr>
        <xdr:cNvSpPr txBox="1"/>
      </xdr:nvSpPr>
      <xdr:spPr>
        <a:xfrm>
          <a:off x="14859847"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00" b="0" baseline="0">
              <a:solidFill>
                <a:schemeClr val="bg2">
                  <a:lumMod val="25000"/>
                </a:schemeClr>
              </a:solidFill>
              <a:latin typeface="+mn-lt"/>
              <a:cs typeface="Aharoni" panose="02010803020104030203" pitchFamily="2" charset="-79"/>
            </a:rPr>
            <a:t>Courses</a:t>
          </a:r>
          <a:endParaRPr lang="en-IN" sz="900" b="0" baseline="0">
            <a:solidFill>
              <a:schemeClr val="bg2">
                <a:lumMod val="25000"/>
              </a:schemeClr>
            </a:solidFill>
            <a:latin typeface="+mn-lt"/>
            <a:cs typeface="Aharoni" panose="02010803020104030203" pitchFamily="2" charset="-79"/>
          </a:endParaRPr>
        </a:p>
      </xdr:txBody>
    </xdr:sp>
    <xdr:clientData/>
  </xdr:twoCellAnchor>
  <xdr:twoCellAnchor editAs="absolute">
    <xdr:from>
      <xdr:col>23</xdr:col>
      <xdr:colOff>339512</xdr:colOff>
      <xdr:row>4</xdr:row>
      <xdr:rowOff>126996</xdr:rowOff>
    </xdr:from>
    <xdr:to>
      <xdr:col>25</xdr:col>
      <xdr:colOff>584199</xdr:colOff>
      <xdr:row>5</xdr:row>
      <xdr:rowOff>143083</xdr:rowOff>
    </xdr:to>
    <xdr:sp macro="" textlink="">
      <xdr:nvSpPr>
        <xdr:cNvPr id="109" name="TextBox 108">
          <a:extLst>
            <a:ext uri="{FF2B5EF4-FFF2-40B4-BE49-F238E27FC236}">
              <a16:creationId xmlns:a16="http://schemas.microsoft.com/office/drawing/2014/main" id="{67448780-5CB4-40ED-9325-1A891B8D6D33}"/>
            </a:ext>
          </a:extLst>
        </xdr:cNvPr>
        <xdr:cNvSpPr txBox="1"/>
      </xdr:nvSpPr>
      <xdr:spPr>
        <a:xfrm>
          <a:off x="14360312" y="872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1">
                  <a:lumMod val="50000"/>
                </a:schemeClr>
              </a:solidFill>
              <a:latin typeface="+mn-lt"/>
              <a:cs typeface="Aharoni" panose="02010803020104030203" pitchFamily="2" charset="-79"/>
            </a:rPr>
            <a:t>Average</a:t>
          </a:r>
          <a:endParaRPr lang="en-IN" sz="1050" b="1" baseline="0">
            <a:solidFill>
              <a:schemeClr val="bg1">
                <a:lumMod val="50000"/>
              </a:schemeClr>
            </a:solidFill>
            <a:latin typeface="+mn-lt"/>
            <a:cs typeface="Aharoni" panose="02010803020104030203" pitchFamily="2" charset="-79"/>
          </a:endParaRPr>
        </a:p>
      </xdr:txBody>
    </xdr:sp>
    <xdr:clientData/>
  </xdr:twoCellAnchor>
  <xdr:twoCellAnchor editAs="absolute">
    <xdr:from>
      <xdr:col>23</xdr:col>
      <xdr:colOff>270932</xdr:colOff>
      <xdr:row>6</xdr:row>
      <xdr:rowOff>0</xdr:rowOff>
    </xdr:from>
    <xdr:to>
      <xdr:col>24</xdr:col>
      <xdr:colOff>355602</xdr:colOff>
      <xdr:row>7</xdr:row>
      <xdr:rowOff>3383</xdr:rowOff>
    </xdr:to>
    <xdr:sp macro="" textlink="Pivot_tables!AL5">
      <xdr:nvSpPr>
        <xdr:cNvPr id="110" name="TextBox 109">
          <a:extLst>
            <a:ext uri="{FF2B5EF4-FFF2-40B4-BE49-F238E27FC236}">
              <a16:creationId xmlns:a16="http://schemas.microsoft.com/office/drawing/2014/main" id="{5AB59364-6457-4843-9C68-C7AC488FECCD}"/>
            </a:ext>
          </a:extLst>
        </xdr:cNvPr>
        <xdr:cNvSpPr txBox="1"/>
      </xdr:nvSpPr>
      <xdr:spPr>
        <a:xfrm>
          <a:off x="14291732" y="1117600"/>
          <a:ext cx="694270" cy="18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FAC01C2-9144-4546-9A16-EDD09DD76C89}" type="TxLink">
            <a:rPr lang="en-US" sz="1400" b="1" i="0" u="none" strike="noStrike" baseline="0">
              <a:solidFill>
                <a:srgbClr val="FED14E"/>
              </a:solidFill>
              <a:latin typeface="Arial"/>
              <a:cs typeface="Arial"/>
            </a:rPr>
            <a:pPr algn="r"/>
            <a:t>2.50</a:t>
          </a:fld>
          <a:endParaRPr lang="en-IN" sz="1600" b="1" baseline="0">
            <a:solidFill>
              <a:srgbClr val="FED14E"/>
            </a:solidFill>
            <a:latin typeface="+mn-lt"/>
            <a:cs typeface="Aharoni" panose="02010803020104030203" pitchFamily="2" charset="-79"/>
          </a:endParaRPr>
        </a:p>
      </xdr:txBody>
    </xdr:sp>
    <xdr:clientData/>
  </xdr:twoCellAnchor>
  <xdr:twoCellAnchor editAs="absolute">
    <xdr:from>
      <xdr:col>24</xdr:col>
      <xdr:colOff>195578</xdr:colOff>
      <xdr:row>5</xdr:row>
      <xdr:rowOff>152397</xdr:rowOff>
    </xdr:from>
    <xdr:to>
      <xdr:col>24</xdr:col>
      <xdr:colOff>482597</xdr:colOff>
      <xdr:row>7</xdr:row>
      <xdr:rowOff>8466</xdr:rowOff>
    </xdr:to>
    <xdr:sp macro="" textlink="">
      <xdr:nvSpPr>
        <xdr:cNvPr id="111" name="TextBox 110">
          <a:extLst>
            <a:ext uri="{FF2B5EF4-FFF2-40B4-BE49-F238E27FC236}">
              <a16:creationId xmlns:a16="http://schemas.microsoft.com/office/drawing/2014/main" id="{9F1D5671-23D4-4A69-8FDF-33C43311192D}"/>
            </a:ext>
          </a:extLst>
        </xdr:cNvPr>
        <xdr:cNvSpPr txBox="1"/>
      </xdr:nvSpPr>
      <xdr:spPr>
        <a:xfrm>
          <a:off x="14825978" y="1083730"/>
          <a:ext cx="287019" cy="228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baseline="0">
              <a:solidFill>
                <a:srgbClr val="FED14E"/>
              </a:solidFill>
              <a:latin typeface="+mn-lt"/>
              <a:cs typeface="Aharoni" panose="02010803020104030203" pitchFamily="2" charset="-79"/>
            </a:rPr>
            <a:t>~</a:t>
          </a:r>
        </a:p>
      </xdr:txBody>
    </xdr:sp>
    <xdr:clientData/>
  </xdr:twoCellAnchor>
  <xdr:twoCellAnchor editAs="absolute">
    <xdr:from>
      <xdr:col>22</xdr:col>
      <xdr:colOff>194731</xdr:colOff>
      <xdr:row>12</xdr:row>
      <xdr:rowOff>87206</xdr:rowOff>
    </xdr:from>
    <xdr:to>
      <xdr:col>26</xdr:col>
      <xdr:colOff>312416</xdr:colOff>
      <xdr:row>23</xdr:row>
      <xdr:rowOff>87206</xdr:rowOff>
    </xdr:to>
    <xdr:sp macro="" textlink="">
      <xdr:nvSpPr>
        <xdr:cNvPr id="112" name="Rectangle: Rounded Corners 111">
          <a:extLst>
            <a:ext uri="{FF2B5EF4-FFF2-40B4-BE49-F238E27FC236}">
              <a16:creationId xmlns:a16="http://schemas.microsoft.com/office/drawing/2014/main" id="{D8184A7B-0E70-4827-8BB5-DF2FB7B2ACEE}"/>
            </a:ext>
          </a:extLst>
        </xdr:cNvPr>
        <xdr:cNvSpPr/>
      </xdr:nvSpPr>
      <xdr:spPr>
        <a:xfrm>
          <a:off x="13605931" y="2322406"/>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448731</xdr:colOff>
      <xdr:row>14</xdr:row>
      <xdr:rowOff>27939</xdr:rowOff>
    </xdr:from>
    <xdr:to>
      <xdr:col>26</xdr:col>
      <xdr:colOff>143931</xdr:colOff>
      <xdr:row>23</xdr:row>
      <xdr:rowOff>117846</xdr:rowOff>
    </xdr:to>
    <xdr:graphicFrame macro="">
      <xdr:nvGraphicFramePr>
        <xdr:cNvPr id="113" name="Chart 112">
          <a:extLst>
            <a:ext uri="{FF2B5EF4-FFF2-40B4-BE49-F238E27FC236}">
              <a16:creationId xmlns:a16="http://schemas.microsoft.com/office/drawing/2014/main" id="{F87992FB-8E5E-4E39-A9CB-7A5A6394CE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23</xdr:col>
      <xdr:colOff>131230</xdr:colOff>
      <xdr:row>13</xdr:row>
      <xdr:rowOff>33862</xdr:rowOff>
    </xdr:from>
    <xdr:to>
      <xdr:col>25</xdr:col>
      <xdr:colOff>375917</xdr:colOff>
      <xdr:row>14</xdr:row>
      <xdr:rowOff>49949</xdr:rowOff>
    </xdr:to>
    <xdr:sp macro="" textlink="">
      <xdr:nvSpPr>
        <xdr:cNvPr id="114" name="TextBox 113">
          <a:extLst>
            <a:ext uri="{FF2B5EF4-FFF2-40B4-BE49-F238E27FC236}">
              <a16:creationId xmlns:a16="http://schemas.microsoft.com/office/drawing/2014/main" id="{80C6B829-B22D-4D3E-BBF7-3995804C9689}"/>
            </a:ext>
          </a:extLst>
        </xdr:cNvPr>
        <xdr:cNvSpPr txBox="1"/>
      </xdr:nvSpPr>
      <xdr:spPr>
        <a:xfrm>
          <a:off x="14152030" y="2455329"/>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Area Code</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22</xdr:col>
      <xdr:colOff>203980</xdr:colOff>
      <xdr:row>24</xdr:row>
      <xdr:rowOff>30901</xdr:rowOff>
    </xdr:from>
    <xdr:to>
      <xdr:col>26</xdr:col>
      <xdr:colOff>321665</xdr:colOff>
      <xdr:row>35</xdr:row>
      <xdr:rowOff>30901</xdr:rowOff>
    </xdr:to>
    <xdr:sp macro="" textlink="">
      <xdr:nvSpPr>
        <xdr:cNvPr id="116" name="Rectangle: Rounded Corners 115">
          <a:extLst>
            <a:ext uri="{FF2B5EF4-FFF2-40B4-BE49-F238E27FC236}">
              <a16:creationId xmlns:a16="http://schemas.microsoft.com/office/drawing/2014/main" id="{C0C4103A-82A7-4986-9EC9-8477EF88DA16}"/>
            </a:ext>
          </a:extLst>
        </xdr:cNvPr>
        <xdr:cNvSpPr/>
      </xdr:nvSpPr>
      <xdr:spPr>
        <a:xfrm>
          <a:off x="13615180" y="4501301"/>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116198</xdr:colOff>
      <xdr:row>24</xdr:row>
      <xdr:rowOff>135467</xdr:rowOff>
    </xdr:from>
    <xdr:to>
      <xdr:col>26</xdr:col>
      <xdr:colOff>409447</xdr:colOff>
      <xdr:row>35</xdr:row>
      <xdr:rowOff>26047</xdr:rowOff>
    </xdr:to>
    <xdr:graphicFrame macro="">
      <xdr:nvGraphicFramePr>
        <xdr:cNvPr id="117" name="Chart 116">
          <a:extLst>
            <a:ext uri="{FF2B5EF4-FFF2-40B4-BE49-F238E27FC236}">
              <a16:creationId xmlns:a16="http://schemas.microsoft.com/office/drawing/2014/main" id="{3BA6273E-F5D4-4973-A9B0-A737DF30A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23</xdr:col>
      <xdr:colOff>389467</xdr:colOff>
      <xdr:row>26</xdr:row>
      <xdr:rowOff>101601</xdr:rowOff>
    </xdr:from>
    <xdr:to>
      <xdr:col>25</xdr:col>
      <xdr:colOff>152400</xdr:colOff>
      <xdr:row>31</xdr:row>
      <xdr:rowOff>152400</xdr:rowOff>
    </xdr:to>
    <xdr:sp macro="" textlink="">
      <xdr:nvSpPr>
        <xdr:cNvPr id="118" name="Oval 117">
          <a:extLst>
            <a:ext uri="{FF2B5EF4-FFF2-40B4-BE49-F238E27FC236}">
              <a16:creationId xmlns:a16="http://schemas.microsoft.com/office/drawing/2014/main" id="{507039DB-1680-47A3-9C49-8145B8776428}"/>
            </a:ext>
          </a:extLst>
        </xdr:cNvPr>
        <xdr:cNvSpPr/>
      </xdr:nvSpPr>
      <xdr:spPr>
        <a:xfrm>
          <a:off x="14410267" y="4944534"/>
          <a:ext cx="982133" cy="98213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p>
      </xdr:txBody>
    </xdr:sp>
    <xdr:clientData/>
  </xdr:twoCellAnchor>
  <xdr:twoCellAnchor editAs="absolute">
    <xdr:from>
      <xdr:col>23</xdr:col>
      <xdr:colOff>419100</xdr:colOff>
      <xdr:row>27</xdr:row>
      <xdr:rowOff>84666</xdr:rowOff>
    </xdr:from>
    <xdr:to>
      <xdr:col>25</xdr:col>
      <xdr:colOff>122766</xdr:colOff>
      <xdr:row>30</xdr:row>
      <xdr:rowOff>169334</xdr:rowOff>
    </xdr:to>
    <xdr:sp macro="" textlink="">
      <xdr:nvSpPr>
        <xdr:cNvPr id="119" name="TextBox 118">
          <a:extLst>
            <a:ext uri="{FF2B5EF4-FFF2-40B4-BE49-F238E27FC236}">
              <a16:creationId xmlns:a16="http://schemas.microsoft.com/office/drawing/2014/main" id="{A5014CD5-AF67-493F-A6D1-8F34F7205A14}"/>
            </a:ext>
          </a:extLst>
        </xdr:cNvPr>
        <xdr:cNvSpPr txBox="1"/>
      </xdr:nvSpPr>
      <xdr:spPr>
        <a:xfrm>
          <a:off x="14439900" y="5113866"/>
          <a:ext cx="922866" cy="64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Training</a:t>
          </a:r>
        </a:p>
        <a:p>
          <a:pPr algn="ctr"/>
          <a:r>
            <a:rPr lang="en-IN" sz="1100" b="1" baseline="0">
              <a:solidFill>
                <a:schemeClr val="bg2">
                  <a:lumMod val="25000"/>
                </a:schemeClr>
              </a:solidFill>
              <a:latin typeface="+mn-lt"/>
              <a:cs typeface="Aharoni" panose="02010803020104030203" pitchFamily="2" charset="-79"/>
            </a:rPr>
            <a:t>Models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17</xdr:col>
      <xdr:colOff>567265</xdr:colOff>
      <xdr:row>12</xdr:row>
      <xdr:rowOff>87206</xdr:rowOff>
    </xdr:from>
    <xdr:to>
      <xdr:col>22</xdr:col>
      <xdr:colOff>75350</xdr:colOff>
      <xdr:row>35</xdr:row>
      <xdr:rowOff>25400</xdr:rowOff>
    </xdr:to>
    <xdr:sp macro="" textlink="">
      <xdr:nvSpPr>
        <xdr:cNvPr id="120" name="Rectangle: Rounded Corners 119">
          <a:extLst>
            <a:ext uri="{FF2B5EF4-FFF2-40B4-BE49-F238E27FC236}">
              <a16:creationId xmlns:a16="http://schemas.microsoft.com/office/drawing/2014/main" id="{9FA57784-230B-4153-8D7F-39D5E5064A7F}"/>
            </a:ext>
          </a:extLst>
        </xdr:cNvPr>
        <xdr:cNvSpPr/>
      </xdr:nvSpPr>
      <xdr:spPr>
        <a:xfrm>
          <a:off x="10930465" y="2322406"/>
          <a:ext cx="2556085" cy="422232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25400</xdr:colOff>
      <xdr:row>13</xdr:row>
      <xdr:rowOff>33862</xdr:rowOff>
    </xdr:from>
    <xdr:to>
      <xdr:col>21</xdr:col>
      <xdr:colOff>558799</xdr:colOff>
      <xdr:row>14</xdr:row>
      <xdr:rowOff>67733</xdr:rowOff>
    </xdr:to>
    <xdr:sp macro="" textlink="">
      <xdr:nvSpPr>
        <xdr:cNvPr id="81" name="TextBox 80">
          <a:extLst>
            <a:ext uri="{FF2B5EF4-FFF2-40B4-BE49-F238E27FC236}">
              <a16:creationId xmlns:a16="http://schemas.microsoft.com/office/drawing/2014/main" id="{5607F944-B412-4EB8-939B-15C7C5B314BA}"/>
            </a:ext>
          </a:extLst>
        </xdr:cNvPr>
        <xdr:cNvSpPr txBox="1"/>
      </xdr:nvSpPr>
      <xdr:spPr>
        <a:xfrm>
          <a:off x="10998200" y="2455329"/>
          <a:ext cx="2362199" cy="220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baseline="0">
              <a:solidFill>
                <a:schemeClr val="bg2">
                  <a:lumMod val="25000"/>
                </a:schemeClr>
              </a:solidFill>
              <a:latin typeface="+mn-lt"/>
              <a:cs typeface="Aharoni" panose="02010803020104030203" pitchFamily="2" charset="-79"/>
            </a:rPr>
            <a:t>Training Level's Fees </a:t>
          </a:r>
          <a:r>
            <a:rPr lang="en-IN" sz="1100" b="1" baseline="0">
              <a:solidFill>
                <a:schemeClr val="tx1">
                  <a:lumMod val="50000"/>
                  <a:lumOff val="50000"/>
                </a:schemeClr>
              </a:solidFill>
              <a:latin typeface="+mn-lt"/>
              <a:cs typeface="Aharoni" panose="02010803020104030203" pitchFamily="2" charset="-79"/>
            </a:rPr>
            <a:t>by Sales Team</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567265</xdr:colOff>
      <xdr:row>14</xdr:row>
      <xdr:rowOff>36409</xdr:rowOff>
    </xdr:from>
    <xdr:to>
      <xdr:col>22</xdr:col>
      <xdr:colOff>26810</xdr:colOff>
      <xdr:row>24</xdr:row>
      <xdr:rowOff>3</xdr:rowOff>
    </xdr:to>
    <xdr:graphicFrame macro="">
      <xdr:nvGraphicFramePr>
        <xdr:cNvPr id="82" name="Chart 81">
          <a:extLst>
            <a:ext uri="{FF2B5EF4-FFF2-40B4-BE49-F238E27FC236}">
              <a16:creationId xmlns:a16="http://schemas.microsoft.com/office/drawing/2014/main" id="{355BCC28-226E-4989-9628-8FC3BD3F8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18</xdr:col>
      <xdr:colOff>16935</xdr:colOff>
      <xdr:row>24</xdr:row>
      <xdr:rowOff>177800</xdr:rowOff>
    </xdr:from>
    <xdr:to>
      <xdr:col>20</xdr:col>
      <xdr:colOff>67735</xdr:colOff>
      <xdr:row>27</xdr:row>
      <xdr:rowOff>84667</xdr:rowOff>
    </xdr:to>
    <xdr:sp macro="" textlink="">
      <xdr:nvSpPr>
        <xdr:cNvPr id="83" name="TextBox 82">
          <a:extLst>
            <a:ext uri="{FF2B5EF4-FFF2-40B4-BE49-F238E27FC236}">
              <a16:creationId xmlns:a16="http://schemas.microsoft.com/office/drawing/2014/main" id="{9557BAC8-F9BA-490E-84F8-692B89184EC1}"/>
            </a:ext>
          </a:extLst>
        </xdr:cNvPr>
        <xdr:cNvSpPr txBox="1"/>
      </xdr:nvSpPr>
      <xdr:spPr>
        <a:xfrm>
          <a:off x="10989735" y="4648200"/>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 </a:t>
          </a:r>
          <a:r>
            <a:rPr lang="en-IN" sz="1100" b="1" baseline="0">
              <a:solidFill>
                <a:schemeClr val="tx1">
                  <a:lumMod val="50000"/>
                  <a:lumOff val="50000"/>
                </a:schemeClr>
              </a:solidFill>
              <a:latin typeface="+mn-lt"/>
              <a:cs typeface="Aharoni" panose="02010803020104030203" pitchFamily="2" charset="-79"/>
            </a:rPr>
            <a:t>on Training Levels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499534</xdr:colOff>
      <xdr:row>26</xdr:row>
      <xdr:rowOff>93134</xdr:rowOff>
    </xdr:from>
    <xdr:to>
      <xdr:col>22</xdr:col>
      <xdr:colOff>104424</xdr:colOff>
      <xdr:row>35</xdr:row>
      <xdr:rowOff>8468</xdr:rowOff>
    </xdr:to>
    <xdr:graphicFrame macro="">
      <xdr:nvGraphicFramePr>
        <xdr:cNvPr id="84" name="Chart 83">
          <a:extLst>
            <a:ext uri="{FF2B5EF4-FFF2-40B4-BE49-F238E27FC236}">
              <a16:creationId xmlns:a16="http://schemas.microsoft.com/office/drawing/2014/main" id="{C24EA666-6B32-407B-87CA-1FE7C3AEB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14</xdr:col>
      <xdr:colOff>285321</xdr:colOff>
      <xdr:row>12</xdr:row>
      <xdr:rowOff>78740</xdr:rowOff>
    </xdr:from>
    <xdr:to>
      <xdr:col>17</xdr:col>
      <xdr:colOff>459057</xdr:colOff>
      <xdr:row>23</xdr:row>
      <xdr:rowOff>78740</xdr:rowOff>
    </xdr:to>
    <xdr:sp macro="" textlink="">
      <xdr:nvSpPr>
        <xdr:cNvPr id="129" name="Rectangle: Rounded Corners 128">
          <a:extLst>
            <a:ext uri="{FF2B5EF4-FFF2-40B4-BE49-F238E27FC236}">
              <a16:creationId xmlns:a16="http://schemas.microsoft.com/office/drawing/2014/main" id="{798A715D-0286-4BD9-B768-45C57A4A1CFA}"/>
            </a:ext>
          </a:extLst>
        </xdr:cNvPr>
        <xdr:cNvSpPr/>
      </xdr:nvSpPr>
      <xdr:spPr>
        <a:xfrm>
          <a:off x="8819721" y="23139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361520</xdr:colOff>
      <xdr:row>12</xdr:row>
      <xdr:rowOff>165947</xdr:rowOff>
    </xdr:from>
    <xdr:to>
      <xdr:col>16</xdr:col>
      <xdr:colOff>253999</xdr:colOff>
      <xdr:row>16</xdr:row>
      <xdr:rowOff>86360</xdr:rowOff>
    </xdr:to>
    <xdr:sp macro="" textlink="">
      <xdr:nvSpPr>
        <xdr:cNvPr id="130" name="TextBox 129">
          <a:extLst>
            <a:ext uri="{FF2B5EF4-FFF2-40B4-BE49-F238E27FC236}">
              <a16:creationId xmlns:a16="http://schemas.microsoft.com/office/drawing/2014/main" id="{CBFCF1C2-94B5-4FD2-B32B-CE531D1F0269}"/>
            </a:ext>
          </a:extLst>
        </xdr:cNvPr>
        <xdr:cNvSpPr txBox="1"/>
      </xdr:nvSpPr>
      <xdr:spPr>
        <a:xfrm>
          <a:off x="8895920" y="2401147"/>
          <a:ext cx="1111679"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Training Level</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17</xdr:col>
      <xdr:colOff>49101</xdr:colOff>
      <xdr:row>13</xdr:row>
      <xdr:rowOff>93980</xdr:rowOff>
    </xdr:from>
    <xdr:to>
      <xdr:col>17</xdr:col>
      <xdr:colOff>216741</xdr:colOff>
      <xdr:row>14</xdr:row>
      <xdr:rowOff>78740</xdr:rowOff>
    </xdr:to>
    <xdr:pic>
      <xdr:nvPicPr>
        <xdr:cNvPr id="131" name="Graphic 130" descr="Star">
          <a:extLst>
            <a:ext uri="{FF2B5EF4-FFF2-40B4-BE49-F238E27FC236}">
              <a16:creationId xmlns:a16="http://schemas.microsoft.com/office/drawing/2014/main" id="{E5A2A51F-1FCB-41E8-86AC-5A75680DB45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12301" y="2515447"/>
          <a:ext cx="167640" cy="171026"/>
        </a:xfrm>
        <a:prstGeom prst="rect">
          <a:avLst/>
        </a:prstGeom>
      </xdr:spPr>
    </xdr:pic>
    <xdr:clientData/>
  </xdr:twoCellAnchor>
  <xdr:twoCellAnchor editAs="absolute">
    <xdr:from>
      <xdr:col>14</xdr:col>
      <xdr:colOff>194733</xdr:colOff>
      <xdr:row>16</xdr:row>
      <xdr:rowOff>86360</xdr:rowOff>
    </xdr:from>
    <xdr:to>
      <xdr:col>18</xdr:col>
      <xdr:colOff>84667</xdr:colOff>
      <xdr:row>23</xdr:row>
      <xdr:rowOff>17780</xdr:rowOff>
    </xdr:to>
    <xdr:grpSp>
      <xdr:nvGrpSpPr>
        <xdr:cNvPr id="4" name="Group 3">
          <a:extLst>
            <a:ext uri="{FF2B5EF4-FFF2-40B4-BE49-F238E27FC236}">
              <a16:creationId xmlns:a16="http://schemas.microsoft.com/office/drawing/2014/main" id="{55910C19-4F70-4EC3-B185-9F9D1228FD17}"/>
            </a:ext>
          </a:extLst>
        </xdr:cNvPr>
        <xdr:cNvGrpSpPr/>
      </xdr:nvGrpSpPr>
      <xdr:grpSpPr>
        <a:xfrm>
          <a:off x="8729133" y="3066627"/>
          <a:ext cx="2328334" cy="1235286"/>
          <a:chOff x="8713041" y="3066627"/>
          <a:chExt cx="2255520" cy="1235286"/>
        </a:xfrm>
      </xdr:grpSpPr>
      <xdr:grpSp>
        <xdr:nvGrpSpPr>
          <xdr:cNvPr id="132" name="Group 131">
            <a:extLst>
              <a:ext uri="{FF2B5EF4-FFF2-40B4-BE49-F238E27FC236}">
                <a16:creationId xmlns:a16="http://schemas.microsoft.com/office/drawing/2014/main" id="{398FFA93-949D-4F03-B935-D294127558D4}"/>
              </a:ext>
            </a:extLst>
          </xdr:cNvPr>
          <xdr:cNvGrpSpPr/>
        </xdr:nvGrpSpPr>
        <xdr:grpSpPr>
          <a:xfrm>
            <a:off x="8713041" y="3066627"/>
            <a:ext cx="2255520" cy="258233"/>
            <a:chOff x="3695700" y="800100"/>
            <a:chExt cx="2255520" cy="251460"/>
          </a:xfrm>
        </xdr:grpSpPr>
        <xdr:sp macro="" textlink="Pivot_tables!BI5">
          <xdr:nvSpPr>
            <xdr:cNvPr id="133" name="TextBox 132">
              <a:extLst>
                <a:ext uri="{FF2B5EF4-FFF2-40B4-BE49-F238E27FC236}">
                  <a16:creationId xmlns:a16="http://schemas.microsoft.com/office/drawing/2014/main" id="{9B7D3E08-5B23-47B8-ABC9-ACF615C8CF3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07F95C6-0679-4E9B-A366-B7E00FFD02B1}" type="TxLink">
                <a:rPr lang="en-US" sz="1000" b="0" i="0" u="none" strike="noStrike">
                  <a:solidFill>
                    <a:schemeClr val="tx1">
                      <a:lumMod val="50000"/>
                      <a:lumOff val="50000"/>
                    </a:schemeClr>
                  </a:solidFill>
                  <a:latin typeface="Arial"/>
                  <a:cs typeface="Arial"/>
                </a:rPr>
                <a:pPr algn="l"/>
                <a:t>Fndn. L5</a:t>
              </a:fld>
              <a:endParaRPr lang="en-IN" sz="700" b="1">
                <a:solidFill>
                  <a:schemeClr val="tx1">
                    <a:lumMod val="50000"/>
                    <a:lumOff val="50000"/>
                  </a:schemeClr>
                </a:solidFill>
                <a:latin typeface="+mn-lt"/>
                <a:cs typeface="Aharoni" panose="02010803020104030203" pitchFamily="2" charset="-79"/>
              </a:endParaRPr>
            </a:p>
          </xdr:txBody>
        </xdr:sp>
        <xdr:sp macro="" textlink="Pivot_tables!BJ5">
          <xdr:nvSpPr>
            <xdr:cNvPr id="134" name="TextBox 133">
              <a:extLst>
                <a:ext uri="{FF2B5EF4-FFF2-40B4-BE49-F238E27FC236}">
                  <a16:creationId xmlns:a16="http://schemas.microsoft.com/office/drawing/2014/main" id="{881C53D6-69E1-4623-80D8-4AB81676E5E2}"/>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5D47C83-6456-4922-8297-3FB7575A0771}" type="TxLink">
                <a:rPr lang="en-US" sz="1000" b="0" i="0" u="none" strike="noStrike">
                  <a:solidFill>
                    <a:schemeClr val="tx1">
                      <a:lumMod val="65000"/>
                      <a:lumOff val="35000"/>
                    </a:schemeClr>
                  </a:solidFill>
                  <a:latin typeface="Arial"/>
                  <a:cs typeface="Arial"/>
                </a:rPr>
                <a:pPr algn="r"/>
                <a:t> 30,40,00,000 </a:t>
              </a:fld>
              <a:endParaRPr lang="en-IN" sz="700" b="1">
                <a:solidFill>
                  <a:schemeClr val="tx1">
                    <a:lumMod val="65000"/>
                    <a:lumOff val="35000"/>
                  </a:schemeClr>
                </a:solidFill>
                <a:latin typeface="+mn-lt"/>
                <a:cs typeface="Aharoni" panose="02010803020104030203" pitchFamily="2" charset="-79"/>
              </a:endParaRPr>
            </a:p>
          </xdr:txBody>
        </xdr:sp>
      </xdr:grpSp>
      <xdr:grpSp>
        <xdr:nvGrpSpPr>
          <xdr:cNvPr id="135" name="Group 134">
            <a:extLst>
              <a:ext uri="{FF2B5EF4-FFF2-40B4-BE49-F238E27FC236}">
                <a16:creationId xmlns:a16="http://schemas.microsoft.com/office/drawing/2014/main" id="{3504ED2A-789C-4175-8685-042FF105764B}"/>
              </a:ext>
            </a:extLst>
          </xdr:cNvPr>
          <xdr:cNvGrpSpPr/>
        </xdr:nvGrpSpPr>
        <xdr:grpSpPr>
          <a:xfrm>
            <a:off x="8713041" y="3556847"/>
            <a:ext cx="2255520" cy="254846"/>
            <a:chOff x="3695700" y="800100"/>
            <a:chExt cx="2255520" cy="251460"/>
          </a:xfrm>
        </xdr:grpSpPr>
        <xdr:sp macro="" textlink="Pivot_tables!BI7">
          <xdr:nvSpPr>
            <xdr:cNvPr id="136" name="TextBox 135">
              <a:extLst>
                <a:ext uri="{FF2B5EF4-FFF2-40B4-BE49-F238E27FC236}">
                  <a16:creationId xmlns:a16="http://schemas.microsoft.com/office/drawing/2014/main" id="{491D5E71-B9E1-4989-A8C1-C8136FCA08E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540C400-0575-4C1F-9C7F-4F9A3A3A624F}" type="TxLink">
                <a:rPr lang="en-US" sz="1000" b="0" i="0" u="none" strike="noStrike">
                  <a:solidFill>
                    <a:schemeClr val="tx1">
                      <a:lumMod val="50000"/>
                      <a:lumOff val="50000"/>
                    </a:schemeClr>
                  </a:solidFill>
                  <a:latin typeface="Arial"/>
                  <a:ea typeface="+mn-ea"/>
                  <a:cs typeface="Arial"/>
                </a:rPr>
                <a:pPr marL="0" indent="0" algn="l"/>
                <a:t>Fndn. L3</a:t>
              </a:fld>
              <a:endParaRPr lang="en-IN" sz="1000" b="0" i="0" u="none" strike="noStrike">
                <a:solidFill>
                  <a:schemeClr val="tx1">
                    <a:lumMod val="50000"/>
                    <a:lumOff val="50000"/>
                  </a:schemeClr>
                </a:solidFill>
                <a:latin typeface="Arial"/>
                <a:ea typeface="+mn-ea"/>
                <a:cs typeface="Arial"/>
              </a:endParaRPr>
            </a:p>
          </xdr:txBody>
        </xdr:sp>
        <xdr:sp macro="" textlink="Pivot_tables!BJ7">
          <xdr:nvSpPr>
            <xdr:cNvPr id="137" name="TextBox 136">
              <a:extLst>
                <a:ext uri="{FF2B5EF4-FFF2-40B4-BE49-F238E27FC236}">
                  <a16:creationId xmlns:a16="http://schemas.microsoft.com/office/drawing/2014/main" id="{DDCEE195-5848-4B7C-850B-E4C9719EA31C}"/>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9D15BDB-0E18-4214-A643-2760E6A59DE6}" type="TxLink">
                <a:rPr lang="en-US" sz="1000" b="0" i="0" u="none" strike="noStrike">
                  <a:solidFill>
                    <a:schemeClr val="tx1">
                      <a:lumMod val="65000"/>
                      <a:lumOff val="35000"/>
                    </a:schemeClr>
                  </a:solidFill>
                  <a:latin typeface="Arial"/>
                  <a:ea typeface="+mn-ea"/>
                  <a:cs typeface="Arial"/>
                </a:rPr>
                <a:pPr marL="0" indent="0" algn="r"/>
                <a:t> 11,00,00,000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38" name="Group 137">
            <a:extLst>
              <a:ext uri="{FF2B5EF4-FFF2-40B4-BE49-F238E27FC236}">
                <a16:creationId xmlns:a16="http://schemas.microsoft.com/office/drawing/2014/main" id="{42604442-762C-4971-8553-AE64CAC08F0B}"/>
              </a:ext>
            </a:extLst>
          </xdr:cNvPr>
          <xdr:cNvGrpSpPr/>
        </xdr:nvGrpSpPr>
        <xdr:grpSpPr>
          <a:xfrm>
            <a:off x="8713041" y="3313430"/>
            <a:ext cx="2255520" cy="254847"/>
            <a:chOff x="3695700" y="800100"/>
            <a:chExt cx="2255520" cy="251460"/>
          </a:xfrm>
        </xdr:grpSpPr>
        <xdr:sp macro="" textlink="Pivot_tables!BI6">
          <xdr:nvSpPr>
            <xdr:cNvPr id="139" name="TextBox 138">
              <a:extLst>
                <a:ext uri="{FF2B5EF4-FFF2-40B4-BE49-F238E27FC236}">
                  <a16:creationId xmlns:a16="http://schemas.microsoft.com/office/drawing/2014/main" id="{4E142B14-A834-4818-92E5-130D0AB53D5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DC7A213-8EFD-44C2-94BE-4A4D54924B66}" type="TxLink">
                <a:rPr lang="en-US" sz="1000" b="0" i="0" u="none" strike="noStrike">
                  <a:solidFill>
                    <a:schemeClr val="tx1">
                      <a:lumMod val="50000"/>
                      <a:lumOff val="50000"/>
                    </a:schemeClr>
                  </a:solidFill>
                  <a:latin typeface="Arial"/>
                  <a:ea typeface="+mn-ea"/>
                  <a:cs typeface="Arial"/>
                </a:rPr>
                <a:pPr marL="0" indent="0" algn="l"/>
                <a:t>Pre. L2</a:t>
              </a:fld>
              <a:endParaRPr lang="en-IN" sz="1000" b="0" i="0" u="none" strike="noStrike">
                <a:solidFill>
                  <a:schemeClr val="tx1">
                    <a:lumMod val="50000"/>
                    <a:lumOff val="50000"/>
                  </a:schemeClr>
                </a:solidFill>
                <a:latin typeface="Arial"/>
                <a:ea typeface="+mn-ea"/>
                <a:cs typeface="Arial"/>
              </a:endParaRPr>
            </a:p>
          </xdr:txBody>
        </xdr:sp>
        <xdr:sp macro="" textlink="Pivot_tables!BJ6">
          <xdr:nvSpPr>
            <xdr:cNvPr id="140" name="TextBox 139">
              <a:extLst>
                <a:ext uri="{FF2B5EF4-FFF2-40B4-BE49-F238E27FC236}">
                  <a16:creationId xmlns:a16="http://schemas.microsoft.com/office/drawing/2014/main" id="{F19C7987-B9B6-4192-B569-23ED6C96C0B7}"/>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39D0343-F037-4B68-A252-A5FC2CCB650F}" type="TxLink">
                <a:rPr lang="en-US" sz="1000" b="0" i="0" u="none" strike="noStrike">
                  <a:solidFill>
                    <a:schemeClr val="tx1">
                      <a:lumMod val="65000"/>
                      <a:lumOff val="35000"/>
                    </a:schemeClr>
                  </a:solidFill>
                  <a:latin typeface="Arial"/>
                  <a:ea typeface="+mn-ea"/>
                  <a:cs typeface="Arial"/>
                </a:rPr>
                <a:pPr marL="0" indent="0" algn="r"/>
                <a:t> 21,60,00,000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1" name="Group 140">
            <a:extLst>
              <a:ext uri="{FF2B5EF4-FFF2-40B4-BE49-F238E27FC236}">
                <a16:creationId xmlns:a16="http://schemas.microsoft.com/office/drawing/2014/main" id="{415636B0-DE82-4363-B2D0-A4CA722FCC6C}"/>
              </a:ext>
            </a:extLst>
          </xdr:cNvPr>
          <xdr:cNvGrpSpPr/>
        </xdr:nvGrpSpPr>
        <xdr:grpSpPr>
          <a:xfrm>
            <a:off x="8713041" y="3800263"/>
            <a:ext cx="2255520" cy="258234"/>
            <a:chOff x="3695700" y="800100"/>
            <a:chExt cx="2255520" cy="251460"/>
          </a:xfrm>
        </xdr:grpSpPr>
        <xdr:sp macro="" textlink="Pivot_tables!BI8">
          <xdr:nvSpPr>
            <xdr:cNvPr id="142" name="TextBox 141">
              <a:extLst>
                <a:ext uri="{FF2B5EF4-FFF2-40B4-BE49-F238E27FC236}">
                  <a16:creationId xmlns:a16="http://schemas.microsoft.com/office/drawing/2014/main" id="{26409C56-C992-4548-9C31-B329BFB3A5F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29AC07-51C9-46F1-A1D5-56F8C16FB01D}" type="TxLink">
                <a:rPr lang="en-US" sz="1000" b="0" i="0" u="none" strike="noStrike">
                  <a:solidFill>
                    <a:schemeClr val="tx1">
                      <a:lumMod val="50000"/>
                      <a:lumOff val="50000"/>
                    </a:schemeClr>
                  </a:solidFill>
                  <a:latin typeface="Arial"/>
                  <a:ea typeface="+mn-ea"/>
                  <a:cs typeface="Arial"/>
                </a:rPr>
                <a:pPr marL="0" indent="0" algn="l"/>
                <a:t>Pre. L8</a:t>
              </a:fld>
              <a:endParaRPr lang="en-IN" sz="1000" b="0" i="0" u="none" strike="noStrike">
                <a:solidFill>
                  <a:schemeClr val="tx1">
                    <a:lumMod val="50000"/>
                    <a:lumOff val="50000"/>
                  </a:schemeClr>
                </a:solidFill>
                <a:latin typeface="Arial"/>
                <a:ea typeface="+mn-ea"/>
                <a:cs typeface="Arial"/>
              </a:endParaRPr>
            </a:p>
          </xdr:txBody>
        </xdr:sp>
        <xdr:sp macro="" textlink="Pivot_tables!BJ8">
          <xdr:nvSpPr>
            <xdr:cNvPr id="143" name="TextBox 142">
              <a:extLst>
                <a:ext uri="{FF2B5EF4-FFF2-40B4-BE49-F238E27FC236}">
                  <a16:creationId xmlns:a16="http://schemas.microsoft.com/office/drawing/2014/main" id="{67A472CC-FEB1-4ACA-96FA-07CF599D7724}"/>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8CE076B-2B84-40A2-9B4C-BE24C9F4CE95}" type="TxLink">
                <a:rPr lang="en-US" sz="1000" b="0" i="0" u="none" strike="noStrike">
                  <a:solidFill>
                    <a:schemeClr val="tx1">
                      <a:lumMod val="65000"/>
                      <a:lumOff val="35000"/>
                    </a:schemeClr>
                  </a:solidFill>
                  <a:latin typeface="Arial"/>
                  <a:ea typeface="+mn-ea"/>
                  <a:cs typeface="Arial"/>
                </a:rPr>
                <a:pPr marL="0" indent="0" algn="r"/>
                <a:t> 11,00,00,000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4" name="Group 143">
            <a:extLst>
              <a:ext uri="{FF2B5EF4-FFF2-40B4-BE49-F238E27FC236}">
                <a16:creationId xmlns:a16="http://schemas.microsoft.com/office/drawing/2014/main" id="{D6868D9D-579A-4E68-BA78-490B3D9BC840}"/>
              </a:ext>
            </a:extLst>
          </xdr:cNvPr>
          <xdr:cNvGrpSpPr/>
        </xdr:nvGrpSpPr>
        <xdr:grpSpPr>
          <a:xfrm>
            <a:off x="8713041" y="4047067"/>
            <a:ext cx="2255520" cy="254846"/>
            <a:chOff x="3695700" y="800100"/>
            <a:chExt cx="2255520" cy="251460"/>
          </a:xfrm>
        </xdr:grpSpPr>
        <xdr:sp macro="" textlink="Pivot_tables!BI9">
          <xdr:nvSpPr>
            <xdr:cNvPr id="145" name="TextBox 144">
              <a:extLst>
                <a:ext uri="{FF2B5EF4-FFF2-40B4-BE49-F238E27FC236}">
                  <a16:creationId xmlns:a16="http://schemas.microsoft.com/office/drawing/2014/main" id="{42AD422F-92C3-4DC7-878F-ED9B7E32358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C48EBE9-1252-4664-B3A9-8F137EC839E7}" type="TxLink">
                <a:rPr lang="en-US" sz="1000" b="0" i="0" u="none" strike="noStrike">
                  <a:solidFill>
                    <a:schemeClr val="tx1">
                      <a:lumMod val="50000"/>
                      <a:lumOff val="50000"/>
                    </a:schemeClr>
                  </a:solidFill>
                  <a:latin typeface="Arial"/>
                  <a:ea typeface="+mn-ea"/>
                  <a:cs typeface="Arial"/>
                </a:rPr>
                <a:pPr marL="0" indent="0" algn="l"/>
                <a:t>Pre. L3</a:t>
              </a:fld>
              <a:endParaRPr lang="en-IN" sz="1000" b="0" i="0" u="none" strike="noStrike">
                <a:solidFill>
                  <a:schemeClr val="tx1">
                    <a:lumMod val="50000"/>
                    <a:lumOff val="50000"/>
                  </a:schemeClr>
                </a:solidFill>
                <a:latin typeface="Arial"/>
                <a:ea typeface="+mn-ea"/>
                <a:cs typeface="Arial"/>
              </a:endParaRPr>
            </a:p>
          </xdr:txBody>
        </xdr:sp>
        <xdr:sp macro="" textlink="Pivot_tables!BJ9">
          <xdr:nvSpPr>
            <xdr:cNvPr id="146" name="TextBox 145">
              <a:extLst>
                <a:ext uri="{FF2B5EF4-FFF2-40B4-BE49-F238E27FC236}">
                  <a16:creationId xmlns:a16="http://schemas.microsoft.com/office/drawing/2014/main" id="{2A9BE35E-6257-452A-867F-25AFE294918E}"/>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928BEA9-CA68-4F30-8609-556A8E313555}" type="TxLink">
                <a:rPr lang="en-US" sz="1000" b="0" i="0" u="none" strike="noStrike">
                  <a:solidFill>
                    <a:schemeClr val="tx1">
                      <a:lumMod val="65000"/>
                      <a:lumOff val="35000"/>
                    </a:schemeClr>
                  </a:solidFill>
                  <a:latin typeface="Arial"/>
                  <a:ea typeface="+mn-ea"/>
                  <a:cs typeface="Arial"/>
                </a:rPr>
                <a:pPr marL="0" indent="0" algn="r"/>
                <a:t> 10,60,00,000 </a:t>
              </a:fld>
              <a:endParaRPr lang="en-IN" sz="1000" b="0" i="0" u="none" strike="noStrike">
                <a:solidFill>
                  <a:schemeClr val="tx1">
                    <a:lumMod val="65000"/>
                    <a:lumOff val="35000"/>
                  </a:schemeClr>
                </a:solidFill>
                <a:latin typeface="Arial"/>
                <a:ea typeface="+mn-ea"/>
                <a:cs typeface="Arial"/>
              </a:endParaRPr>
            </a:p>
          </xdr:txBody>
        </xdr:sp>
      </xdr:grpSp>
    </xdr:grpSp>
    <xdr:clientData/>
  </xdr:twoCellAnchor>
  <xdr:twoCellAnchor editAs="absolute">
    <xdr:from>
      <xdr:col>5</xdr:col>
      <xdr:colOff>364067</xdr:colOff>
      <xdr:row>12</xdr:row>
      <xdr:rowOff>78740</xdr:rowOff>
    </xdr:from>
    <xdr:to>
      <xdr:col>14</xdr:col>
      <xdr:colOff>162725</xdr:colOff>
      <xdr:row>23</xdr:row>
      <xdr:rowOff>78740</xdr:rowOff>
    </xdr:to>
    <xdr:sp macro="" textlink="">
      <xdr:nvSpPr>
        <xdr:cNvPr id="147" name="Rectangle: Rounded Corners 146">
          <a:extLst>
            <a:ext uri="{FF2B5EF4-FFF2-40B4-BE49-F238E27FC236}">
              <a16:creationId xmlns:a16="http://schemas.microsoft.com/office/drawing/2014/main" id="{12607575-2E1E-4848-912C-7D27DE820E30}"/>
            </a:ext>
          </a:extLst>
        </xdr:cNvPr>
        <xdr:cNvSpPr/>
      </xdr:nvSpPr>
      <xdr:spPr>
        <a:xfrm>
          <a:off x="3412067" y="2313940"/>
          <a:ext cx="5285058"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524934</xdr:colOff>
      <xdr:row>12</xdr:row>
      <xdr:rowOff>115145</xdr:rowOff>
    </xdr:from>
    <xdr:to>
      <xdr:col>14</xdr:col>
      <xdr:colOff>33866</xdr:colOff>
      <xdr:row>16</xdr:row>
      <xdr:rowOff>35558</xdr:rowOff>
    </xdr:to>
    <xdr:sp macro="" textlink="">
      <xdr:nvSpPr>
        <xdr:cNvPr id="148" name="TextBox 147">
          <a:extLst>
            <a:ext uri="{FF2B5EF4-FFF2-40B4-BE49-F238E27FC236}">
              <a16:creationId xmlns:a16="http://schemas.microsoft.com/office/drawing/2014/main" id="{61859864-3885-4F95-B750-E0E93E0599BC}"/>
            </a:ext>
          </a:extLst>
        </xdr:cNvPr>
        <xdr:cNvSpPr txBox="1"/>
      </xdr:nvSpPr>
      <xdr:spPr>
        <a:xfrm>
          <a:off x="7230534" y="2350345"/>
          <a:ext cx="1337732"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Average</a:t>
          </a:r>
        </a:p>
        <a:p>
          <a:pPr algn="l"/>
          <a:r>
            <a:rPr lang="en-IN" sz="1050" b="1" baseline="0">
              <a:solidFill>
                <a:schemeClr val="bg2">
                  <a:lumMod val="25000"/>
                </a:schemeClr>
              </a:solidFill>
              <a:latin typeface="+mn-lt"/>
              <a:cs typeface="Aharoni" panose="02010803020104030203" pitchFamily="2" charset="-79"/>
            </a:rPr>
            <a:t>Paid Calls Duration </a:t>
          </a:r>
        </a:p>
        <a:p>
          <a:pPr algn="l"/>
          <a:r>
            <a:rPr lang="en-IN" sz="900" b="1" baseline="0">
              <a:solidFill>
                <a:schemeClr val="bg1">
                  <a:lumMod val="65000"/>
                </a:schemeClr>
              </a:solidFill>
              <a:latin typeface="+mn-lt"/>
              <a:cs typeface="Aharoni" panose="02010803020104030203" pitchFamily="2" charset="-79"/>
            </a:rPr>
            <a:t>by Months</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0</xdr:col>
      <xdr:colOff>302599</xdr:colOff>
      <xdr:row>1</xdr:row>
      <xdr:rowOff>177799</xdr:rowOff>
    </xdr:from>
    <xdr:to>
      <xdr:col>1</xdr:col>
      <xdr:colOff>590466</xdr:colOff>
      <xdr:row>6</xdr:row>
      <xdr:rowOff>143933</xdr:rowOff>
    </xdr:to>
    <xdr:pic>
      <xdr:nvPicPr>
        <xdr:cNvPr id="24" name="Picture 23">
          <a:extLst>
            <a:ext uri="{FF2B5EF4-FFF2-40B4-BE49-F238E27FC236}">
              <a16:creationId xmlns:a16="http://schemas.microsoft.com/office/drawing/2014/main" id="{74C2B5BD-365D-4174-8DCB-921A1A5B631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02599" y="364066"/>
          <a:ext cx="897467" cy="897467"/>
        </a:xfrm>
        <a:prstGeom prst="rect">
          <a:avLst/>
        </a:prstGeom>
      </xdr:spPr>
    </xdr:pic>
    <xdr:clientData/>
  </xdr:twoCellAnchor>
  <xdr:twoCellAnchor editAs="absolute">
    <xdr:from>
      <xdr:col>5</xdr:col>
      <xdr:colOff>541866</xdr:colOff>
      <xdr:row>12</xdr:row>
      <xdr:rowOff>143931</xdr:rowOff>
    </xdr:from>
    <xdr:to>
      <xdr:col>11</xdr:col>
      <xdr:colOff>423332</xdr:colOff>
      <xdr:row>22</xdr:row>
      <xdr:rowOff>152398</xdr:rowOff>
    </xdr:to>
    <xdr:grpSp>
      <xdr:nvGrpSpPr>
        <xdr:cNvPr id="150" name="Group 149">
          <a:extLst>
            <a:ext uri="{FF2B5EF4-FFF2-40B4-BE49-F238E27FC236}">
              <a16:creationId xmlns:a16="http://schemas.microsoft.com/office/drawing/2014/main" id="{65B5726D-08BA-4145-8C4B-04179A7FDFAA}"/>
            </a:ext>
          </a:extLst>
        </xdr:cNvPr>
        <xdr:cNvGrpSpPr/>
      </xdr:nvGrpSpPr>
      <xdr:grpSpPr>
        <a:xfrm>
          <a:off x="3589866" y="2379131"/>
          <a:ext cx="3539066" cy="1871134"/>
          <a:chOff x="55587900" y="1356360"/>
          <a:chExt cx="4572000" cy="2743200"/>
        </a:xfrm>
      </xdr:grpSpPr>
      <xdr:graphicFrame macro="">
        <xdr:nvGraphicFramePr>
          <xdr:cNvPr id="151" name="Chart 150">
            <a:extLst>
              <a:ext uri="{FF2B5EF4-FFF2-40B4-BE49-F238E27FC236}">
                <a16:creationId xmlns:a16="http://schemas.microsoft.com/office/drawing/2014/main" id="{F357E00D-97EE-4FF9-9D6F-FB48EE056916}"/>
              </a:ext>
            </a:extLst>
          </xdr:cNvPr>
          <xdr:cNvGraphicFramePr/>
        </xdr:nvGraphicFramePr>
        <xdr:xfrm>
          <a:off x="55587900" y="1356360"/>
          <a:ext cx="4572000" cy="274320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52" name="Rectangle 151">
            <a:extLst>
              <a:ext uri="{FF2B5EF4-FFF2-40B4-BE49-F238E27FC236}">
                <a16:creationId xmlns:a16="http://schemas.microsoft.com/office/drawing/2014/main" id="{C08EA940-B850-45C1-81F4-021765DB6D16}"/>
              </a:ext>
            </a:extLst>
          </xdr:cNvPr>
          <xdr:cNvSpPr/>
        </xdr:nvSpPr>
        <xdr:spPr>
          <a:xfrm>
            <a:off x="56091038" y="3578231"/>
            <a:ext cx="4000281" cy="198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8</xdr:col>
      <xdr:colOff>228601</xdr:colOff>
      <xdr:row>22</xdr:row>
      <xdr:rowOff>8462</xdr:rowOff>
    </xdr:from>
    <xdr:to>
      <xdr:col>9</xdr:col>
      <xdr:colOff>279401</xdr:colOff>
      <xdr:row>23</xdr:row>
      <xdr:rowOff>110067</xdr:rowOff>
    </xdr:to>
    <xdr:sp macro="" textlink="">
      <xdr:nvSpPr>
        <xdr:cNvPr id="153" name="TextBox 152">
          <a:extLst>
            <a:ext uri="{FF2B5EF4-FFF2-40B4-BE49-F238E27FC236}">
              <a16:creationId xmlns:a16="http://schemas.microsoft.com/office/drawing/2014/main" id="{63B74D14-6A8F-4707-8349-4C245A934243}"/>
            </a:ext>
          </a:extLst>
        </xdr:cNvPr>
        <xdr:cNvSpPr txBox="1"/>
      </xdr:nvSpPr>
      <xdr:spPr>
        <a:xfrm>
          <a:off x="5105401" y="4106329"/>
          <a:ext cx="660400" cy="287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baseline="0">
              <a:solidFill>
                <a:schemeClr val="tx1">
                  <a:lumMod val="50000"/>
                  <a:lumOff val="50000"/>
                </a:schemeClr>
              </a:solidFill>
              <a:latin typeface="Arial" panose="020B0604020202020204" pitchFamily="34" charset="0"/>
              <a:cs typeface="Arial" panose="020B0604020202020204" pitchFamily="34" charset="0"/>
            </a:rPr>
            <a:t>Months</a:t>
          </a:r>
          <a:endParaRPr lang="en-IN" sz="800" b="0" baseline="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11</xdr:col>
      <xdr:colOff>499533</xdr:colOff>
      <xdr:row>15</xdr:row>
      <xdr:rowOff>152397</xdr:rowOff>
    </xdr:from>
    <xdr:to>
      <xdr:col>14</xdr:col>
      <xdr:colOff>162725</xdr:colOff>
      <xdr:row>17</xdr:row>
      <xdr:rowOff>177800</xdr:rowOff>
    </xdr:to>
    <xdr:sp macro="" textlink="">
      <xdr:nvSpPr>
        <xdr:cNvPr id="26" name="Rectangle: Top Corners Rounded 25">
          <a:extLst>
            <a:ext uri="{FF2B5EF4-FFF2-40B4-BE49-F238E27FC236}">
              <a16:creationId xmlns:a16="http://schemas.microsoft.com/office/drawing/2014/main" id="{4C0C75F9-9005-4B96-A53D-50D28DC7C26E}"/>
            </a:ext>
          </a:extLst>
        </xdr:cNvPr>
        <xdr:cNvSpPr/>
      </xdr:nvSpPr>
      <xdr:spPr>
        <a:xfrm rot="16200000">
          <a:off x="7752161" y="2399369"/>
          <a:ext cx="397936" cy="1491992"/>
        </a:xfrm>
        <a:prstGeom prst="round2SameRect">
          <a:avLst>
            <a:gd name="adj1" fmla="val 11749"/>
            <a:gd name="adj2" fmla="val 0"/>
          </a:avLst>
        </a:prstGeom>
        <a:solidFill>
          <a:srgbClr val="4958C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550336</xdr:colOff>
      <xdr:row>16</xdr:row>
      <xdr:rowOff>15236</xdr:rowOff>
    </xdr:from>
    <xdr:to>
      <xdr:col>13</xdr:col>
      <xdr:colOff>194734</xdr:colOff>
      <xdr:row>17</xdr:row>
      <xdr:rowOff>128692</xdr:rowOff>
    </xdr:to>
    <xdr:sp macro="" textlink="Pivot_tables!BV5">
      <xdr:nvSpPr>
        <xdr:cNvPr id="154" name="TextBox 153">
          <a:extLst>
            <a:ext uri="{FF2B5EF4-FFF2-40B4-BE49-F238E27FC236}">
              <a16:creationId xmlns:a16="http://schemas.microsoft.com/office/drawing/2014/main" id="{9874633A-0256-4648-B1E1-542E9CDF165A}"/>
            </a:ext>
          </a:extLst>
        </xdr:cNvPr>
        <xdr:cNvSpPr txBox="1"/>
      </xdr:nvSpPr>
      <xdr:spPr>
        <a:xfrm>
          <a:off x="7255936" y="2995503"/>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AF9C643-6869-4077-937F-22BE9DD389A0}" type="TxLink">
            <a:rPr lang="en-US" sz="1600" b="1" i="0" u="none" strike="noStrike" baseline="0">
              <a:solidFill>
                <a:schemeClr val="bg1"/>
              </a:solidFill>
              <a:latin typeface="Arial"/>
              <a:cs typeface="Arial"/>
            </a:rPr>
            <a:pPr algn="l"/>
            <a:t>04:16</a:t>
          </a:fld>
          <a:endParaRPr lang="en-IN" sz="1100" b="1">
            <a:solidFill>
              <a:schemeClr val="bg1"/>
            </a:solidFill>
            <a:latin typeface="+mn-lt"/>
            <a:cs typeface="Aharoni" panose="02010803020104030203" pitchFamily="2" charset="-79"/>
          </a:endParaRPr>
        </a:p>
      </xdr:txBody>
    </xdr:sp>
    <xdr:clientData/>
  </xdr:twoCellAnchor>
  <xdr:twoCellAnchor editAs="absolute">
    <xdr:from>
      <xdr:col>12</xdr:col>
      <xdr:colOff>516469</xdr:colOff>
      <xdr:row>16</xdr:row>
      <xdr:rowOff>32170</xdr:rowOff>
    </xdr:from>
    <xdr:to>
      <xdr:col>14</xdr:col>
      <xdr:colOff>93132</xdr:colOff>
      <xdr:row>17</xdr:row>
      <xdr:rowOff>111758</xdr:rowOff>
    </xdr:to>
    <xdr:sp macro="" textlink="">
      <xdr:nvSpPr>
        <xdr:cNvPr id="155" name="TextBox 154">
          <a:extLst>
            <a:ext uri="{FF2B5EF4-FFF2-40B4-BE49-F238E27FC236}">
              <a16:creationId xmlns:a16="http://schemas.microsoft.com/office/drawing/2014/main" id="{CC87BA62-2C06-4D36-B88B-D85EDEAC41E0}"/>
            </a:ext>
          </a:extLst>
        </xdr:cNvPr>
        <xdr:cNvSpPr txBox="1"/>
      </xdr:nvSpPr>
      <xdr:spPr>
        <a:xfrm>
          <a:off x="7831669" y="3012437"/>
          <a:ext cx="795863" cy="265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0">
              <a:solidFill>
                <a:schemeClr val="bg1"/>
              </a:solidFill>
              <a:latin typeface="+mn-lt"/>
              <a:cs typeface="Aharoni" panose="02010803020104030203" pitchFamily="2" charset="-79"/>
            </a:rPr>
            <a:t>mm:ss</a:t>
          </a:r>
        </a:p>
      </xdr:txBody>
    </xdr:sp>
    <xdr:clientData/>
  </xdr:twoCellAnchor>
  <xdr:twoCellAnchor editAs="absolute">
    <xdr:from>
      <xdr:col>11</xdr:col>
      <xdr:colOff>254000</xdr:colOff>
      <xdr:row>19</xdr:row>
      <xdr:rowOff>38949</xdr:rowOff>
    </xdr:from>
    <xdr:to>
      <xdr:col>12</xdr:col>
      <xdr:colOff>507998</xdr:colOff>
      <xdr:row>23</xdr:row>
      <xdr:rowOff>33874</xdr:rowOff>
    </xdr:to>
    <xdr:grpSp>
      <xdr:nvGrpSpPr>
        <xdr:cNvPr id="30" name="Group 29">
          <a:extLst>
            <a:ext uri="{FF2B5EF4-FFF2-40B4-BE49-F238E27FC236}">
              <a16:creationId xmlns:a16="http://schemas.microsoft.com/office/drawing/2014/main" id="{C688AB7C-5B2A-447B-AEBB-DFD335456303}"/>
            </a:ext>
          </a:extLst>
        </xdr:cNvPr>
        <xdr:cNvGrpSpPr/>
      </xdr:nvGrpSpPr>
      <xdr:grpSpPr>
        <a:xfrm>
          <a:off x="6959600" y="3578016"/>
          <a:ext cx="863598" cy="739991"/>
          <a:chOff x="7137401" y="3484879"/>
          <a:chExt cx="863598" cy="739991"/>
        </a:xfrm>
      </xdr:grpSpPr>
      <xdr:sp macro="" textlink="">
        <xdr:nvSpPr>
          <xdr:cNvPr id="156" name="TextBox 155">
            <a:extLst>
              <a:ext uri="{FF2B5EF4-FFF2-40B4-BE49-F238E27FC236}">
                <a16:creationId xmlns:a16="http://schemas.microsoft.com/office/drawing/2014/main" id="{EB470C19-C3B4-430B-B95D-A3CFF2070EF5}"/>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Mininmum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6">
        <xdr:nvSpPr>
          <xdr:cNvPr id="157" name="TextBox 156">
            <a:extLst>
              <a:ext uri="{FF2B5EF4-FFF2-40B4-BE49-F238E27FC236}">
                <a16:creationId xmlns:a16="http://schemas.microsoft.com/office/drawing/2014/main" id="{D5CB131C-9285-465E-BAE7-66E1DDFA5D31}"/>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34A6AC-2083-4379-846D-05E74238544F}" type="TxLink">
              <a:rPr lang="en-US" sz="1100" b="1" i="0" u="none" strike="noStrike" baseline="0">
                <a:solidFill>
                  <a:srgbClr val="000000"/>
                </a:solidFill>
                <a:latin typeface="Arial"/>
                <a:cs typeface="Arial"/>
              </a:rPr>
              <a:pPr algn="ctr"/>
              <a:t>02:00</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58" name="TextBox 157">
            <a:extLst>
              <a:ext uri="{FF2B5EF4-FFF2-40B4-BE49-F238E27FC236}">
                <a16:creationId xmlns:a16="http://schemas.microsoft.com/office/drawing/2014/main" id="{59A04C6E-FA70-4B8A-A64E-70A42616D10C}"/>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12</xdr:col>
      <xdr:colOff>440267</xdr:colOff>
      <xdr:row>19</xdr:row>
      <xdr:rowOff>38949</xdr:rowOff>
    </xdr:from>
    <xdr:to>
      <xdr:col>14</xdr:col>
      <xdr:colOff>84665</xdr:colOff>
      <xdr:row>23</xdr:row>
      <xdr:rowOff>33874</xdr:rowOff>
    </xdr:to>
    <xdr:grpSp>
      <xdr:nvGrpSpPr>
        <xdr:cNvPr id="159" name="Group 158">
          <a:extLst>
            <a:ext uri="{FF2B5EF4-FFF2-40B4-BE49-F238E27FC236}">
              <a16:creationId xmlns:a16="http://schemas.microsoft.com/office/drawing/2014/main" id="{09A53A23-3758-4F77-886C-7EB2E1004B57}"/>
            </a:ext>
          </a:extLst>
        </xdr:cNvPr>
        <xdr:cNvGrpSpPr/>
      </xdr:nvGrpSpPr>
      <xdr:grpSpPr>
        <a:xfrm>
          <a:off x="7755467" y="3578016"/>
          <a:ext cx="863598" cy="739991"/>
          <a:chOff x="7137401" y="3484879"/>
          <a:chExt cx="863598" cy="739991"/>
        </a:xfrm>
      </xdr:grpSpPr>
      <xdr:sp macro="" textlink="">
        <xdr:nvSpPr>
          <xdr:cNvPr id="160" name="TextBox 159">
            <a:extLst>
              <a:ext uri="{FF2B5EF4-FFF2-40B4-BE49-F238E27FC236}">
                <a16:creationId xmlns:a16="http://schemas.microsoft.com/office/drawing/2014/main" id="{8F88960A-87E6-4BB1-BE25-7B606A8BF93D}"/>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Maximum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4">
        <xdr:nvSpPr>
          <xdr:cNvPr id="161" name="TextBox 160">
            <a:extLst>
              <a:ext uri="{FF2B5EF4-FFF2-40B4-BE49-F238E27FC236}">
                <a16:creationId xmlns:a16="http://schemas.microsoft.com/office/drawing/2014/main" id="{41566FA7-80B3-4FFF-B458-12790A9438CA}"/>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A424BC-57FF-44E2-85FE-E8FCB00C30C3}" type="TxLink">
              <a:rPr lang="en-US" sz="1100" b="1" i="0" u="none" strike="noStrike" baseline="0">
                <a:solidFill>
                  <a:srgbClr val="000000"/>
                </a:solidFill>
                <a:latin typeface="Arial"/>
                <a:cs typeface="Arial"/>
              </a:rPr>
              <a:pPr algn="ctr"/>
              <a:t>05:02</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62" name="TextBox 161">
            <a:extLst>
              <a:ext uri="{FF2B5EF4-FFF2-40B4-BE49-F238E27FC236}">
                <a16:creationId xmlns:a16="http://schemas.microsoft.com/office/drawing/2014/main" id="{D2AAE8A7-27C4-4E4A-AE63-A37BF569A470}"/>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4</xdr:col>
      <xdr:colOff>127001</xdr:colOff>
      <xdr:row>8</xdr:row>
      <xdr:rowOff>101602</xdr:rowOff>
    </xdr:from>
    <xdr:to>
      <xdr:col>4</xdr:col>
      <xdr:colOff>516501</xdr:colOff>
      <xdr:row>10</xdr:row>
      <xdr:rowOff>118534</xdr:rowOff>
    </xdr:to>
    <xdr:sp macro="" textlink="">
      <xdr:nvSpPr>
        <xdr:cNvPr id="163" name="Google Shape;6459;p40">
          <a:extLst>
            <a:ext uri="{FF2B5EF4-FFF2-40B4-BE49-F238E27FC236}">
              <a16:creationId xmlns:a16="http://schemas.microsoft.com/office/drawing/2014/main" id="{763504DE-DD43-41DB-A432-2D9B90CE89D8}"/>
            </a:ext>
          </a:extLst>
        </xdr:cNvPr>
        <xdr:cNvSpPr/>
      </xdr:nvSpPr>
      <xdr:spPr>
        <a:xfrm>
          <a:off x="2565401" y="1591735"/>
          <a:ext cx="389500" cy="389466"/>
        </a:xfrm>
        <a:custGeom>
          <a:avLst/>
          <a:gdLst/>
          <a:ahLst/>
          <a:cxnLst/>
          <a:rect l="l" t="t" r="r" b="b"/>
          <a:pathLst>
            <a:path w="11658" h="11657" extrusionOk="0">
              <a:moveTo>
                <a:pt x="5829" y="0"/>
              </a:moveTo>
              <a:cubicBezTo>
                <a:pt x="3372" y="0"/>
                <a:pt x="1261" y="1796"/>
                <a:pt x="788" y="4159"/>
              </a:cubicBezTo>
              <a:cubicBezTo>
                <a:pt x="347" y="4285"/>
                <a:pt x="1" y="4694"/>
                <a:pt x="1" y="5167"/>
              </a:cubicBezTo>
              <a:lnTo>
                <a:pt x="1" y="7876"/>
              </a:lnTo>
              <a:cubicBezTo>
                <a:pt x="1" y="8412"/>
                <a:pt x="473" y="8885"/>
                <a:pt x="1009" y="8885"/>
              </a:cubicBezTo>
              <a:lnTo>
                <a:pt x="1702" y="8885"/>
              </a:lnTo>
              <a:cubicBezTo>
                <a:pt x="1891" y="8885"/>
                <a:pt x="2049" y="8727"/>
                <a:pt x="2049" y="8538"/>
              </a:cubicBezTo>
              <a:lnTo>
                <a:pt x="2049" y="4442"/>
              </a:lnTo>
              <a:cubicBezTo>
                <a:pt x="2049" y="4253"/>
                <a:pt x="1891" y="4096"/>
                <a:pt x="1702" y="4096"/>
              </a:cubicBezTo>
              <a:lnTo>
                <a:pt x="1481" y="4096"/>
              </a:lnTo>
              <a:cubicBezTo>
                <a:pt x="1954" y="2111"/>
                <a:pt x="3781" y="630"/>
                <a:pt x="5829" y="630"/>
              </a:cubicBezTo>
              <a:cubicBezTo>
                <a:pt x="7877" y="630"/>
                <a:pt x="9673" y="2111"/>
                <a:pt x="10145" y="4096"/>
              </a:cubicBezTo>
              <a:lnTo>
                <a:pt x="9956" y="4096"/>
              </a:lnTo>
              <a:cubicBezTo>
                <a:pt x="9767" y="4096"/>
                <a:pt x="9610" y="4253"/>
                <a:pt x="9610" y="4442"/>
              </a:cubicBezTo>
              <a:lnTo>
                <a:pt x="9610" y="8538"/>
              </a:lnTo>
              <a:cubicBezTo>
                <a:pt x="9610" y="8727"/>
                <a:pt x="9767" y="8885"/>
                <a:pt x="9956" y="8885"/>
              </a:cubicBezTo>
              <a:lnTo>
                <a:pt x="10271" y="8885"/>
              </a:lnTo>
              <a:cubicBezTo>
                <a:pt x="10114" y="9672"/>
                <a:pt x="9421" y="10271"/>
                <a:pt x="8570" y="10271"/>
              </a:cubicBezTo>
              <a:lnTo>
                <a:pt x="6774" y="10271"/>
              </a:lnTo>
              <a:cubicBezTo>
                <a:pt x="6617" y="9893"/>
                <a:pt x="6270" y="9609"/>
                <a:pt x="5829" y="9609"/>
              </a:cubicBezTo>
              <a:cubicBezTo>
                <a:pt x="5262" y="9609"/>
                <a:pt x="4789" y="10082"/>
                <a:pt x="4789" y="10617"/>
              </a:cubicBezTo>
              <a:cubicBezTo>
                <a:pt x="4789" y="11184"/>
                <a:pt x="5262" y="11657"/>
                <a:pt x="5829" y="11657"/>
              </a:cubicBezTo>
              <a:cubicBezTo>
                <a:pt x="6270" y="11657"/>
                <a:pt x="6648" y="11373"/>
                <a:pt x="6774" y="10995"/>
              </a:cubicBezTo>
              <a:lnTo>
                <a:pt x="8570" y="10995"/>
              </a:lnTo>
              <a:cubicBezTo>
                <a:pt x="9799" y="10995"/>
                <a:pt x="10775" y="10082"/>
                <a:pt x="10933" y="8885"/>
              </a:cubicBezTo>
              <a:cubicBezTo>
                <a:pt x="11342" y="8790"/>
                <a:pt x="11658" y="8380"/>
                <a:pt x="11658" y="7908"/>
              </a:cubicBezTo>
              <a:lnTo>
                <a:pt x="11658" y="5198"/>
              </a:lnTo>
              <a:cubicBezTo>
                <a:pt x="11658" y="4694"/>
                <a:pt x="11311" y="4253"/>
                <a:pt x="10870" y="4159"/>
              </a:cubicBezTo>
              <a:cubicBezTo>
                <a:pt x="10397" y="1796"/>
                <a:pt x="8255" y="0"/>
                <a:pt x="5829" y="0"/>
              </a:cubicBezTo>
              <a:close/>
            </a:path>
          </a:pathLst>
        </a:custGeom>
        <a:solidFill>
          <a:srgbClr val="5A5A5A"/>
        </a:solidFill>
        <a:ln>
          <a:noFill/>
        </a:ln>
      </xdr:spPr>
      <xdr:txBody>
        <a:bodyPr spcFirstLastPara="1" wrap="square" lIns="91425" tIns="91425" rIns="91425" bIns="91425" anchor="ctr" anchorCtr="0">
          <a:noAutofit/>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marL="0" lvl="0" indent="0" algn="l" rtl="0">
            <a:spcBef>
              <a:spcPts val="0"/>
            </a:spcBef>
            <a:spcAft>
              <a:spcPts val="0"/>
            </a:spcAft>
            <a:buNone/>
          </a:pPr>
          <a:endParaRPr/>
        </a:p>
      </xdr:txBody>
    </xdr:sp>
    <xdr:clientData/>
  </xdr:twoCellAnchor>
  <xdr:twoCellAnchor editAs="absolute">
    <xdr:from>
      <xdr:col>11</xdr:col>
      <xdr:colOff>601133</xdr:colOff>
      <xdr:row>18</xdr:row>
      <xdr:rowOff>84666</xdr:rowOff>
    </xdr:from>
    <xdr:to>
      <xdr:col>12</xdr:col>
      <xdr:colOff>186266</xdr:colOff>
      <xdr:row>19</xdr:row>
      <xdr:rowOff>93133</xdr:rowOff>
    </xdr:to>
    <xdr:sp macro="" textlink="">
      <xdr:nvSpPr>
        <xdr:cNvPr id="183" name="Freeform 82">
          <a:extLst>
            <a:ext uri="{FF2B5EF4-FFF2-40B4-BE49-F238E27FC236}">
              <a16:creationId xmlns:a16="http://schemas.microsoft.com/office/drawing/2014/main" id="{09470E1F-2BBF-4D70-9133-7731E79563C3}"/>
            </a:ext>
          </a:extLst>
        </xdr:cNvPr>
        <xdr:cNvSpPr>
          <a:spLocks noChangeArrowheads="1"/>
        </xdr:cNvSpPr>
      </xdr:nvSpPr>
      <xdr:spPr bwMode="auto">
        <a:xfrm>
          <a:off x="7306733" y="3437466"/>
          <a:ext cx="194733" cy="194734"/>
        </a:xfrm>
        <a:custGeom>
          <a:avLst/>
          <a:gdLst>
            <a:gd name="T0" fmla="*/ 38763987 w 602"/>
            <a:gd name="T1" fmla="*/ 78442719 h 602"/>
            <a:gd name="T2" fmla="*/ 38763987 w 602"/>
            <a:gd name="T3" fmla="*/ 78442719 h 602"/>
            <a:gd name="T4" fmla="*/ 0 w 602"/>
            <a:gd name="T5" fmla="*/ 38764526 h 602"/>
            <a:gd name="T6" fmla="*/ 38763987 w 602"/>
            <a:gd name="T7" fmla="*/ 0 h 602"/>
            <a:gd name="T8" fmla="*/ 78441997 w 602"/>
            <a:gd name="T9" fmla="*/ 38764526 h 602"/>
            <a:gd name="T10" fmla="*/ 38763987 w 602"/>
            <a:gd name="T11" fmla="*/ 78442719 h 602"/>
            <a:gd name="T12" fmla="*/ 7439717 w 602"/>
            <a:gd name="T13" fmla="*/ 38764526 h 602"/>
            <a:gd name="T14" fmla="*/ 7439717 w 602"/>
            <a:gd name="T15" fmla="*/ 38764526 h 602"/>
            <a:gd name="T16" fmla="*/ 38763987 w 602"/>
            <a:gd name="T17" fmla="*/ 71002968 h 602"/>
            <a:gd name="T18" fmla="*/ 71002280 w 602"/>
            <a:gd name="T19" fmla="*/ 38764526 h 602"/>
            <a:gd name="T20" fmla="*/ 71002280 w 602"/>
            <a:gd name="T21" fmla="*/ 38764526 h 602"/>
            <a:gd name="T22" fmla="*/ 38763987 w 602"/>
            <a:gd name="T23" fmla="*/ 38764526 h 602"/>
            <a:gd name="T24" fmla="*/ 38763987 w 602"/>
            <a:gd name="T25" fmla="*/ 7308970 h 602"/>
            <a:gd name="T26" fmla="*/ 7439717 w 602"/>
            <a:gd name="T27" fmla="*/ 38764526 h 60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602" h="602">
              <a:moveTo>
                <a:pt x="297" y="601"/>
              </a:moveTo>
              <a:lnTo>
                <a:pt x="297" y="601"/>
              </a:lnTo>
              <a:cubicBezTo>
                <a:pt x="135" y="601"/>
                <a:pt x="0" y="466"/>
                <a:pt x="0" y="297"/>
              </a:cubicBezTo>
              <a:cubicBezTo>
                <a:pt x="0" y="134"/>
                <a:pt x="135" y="0"/>
                <a:pt x="297" y="0"/>
              </a:cubicBezTo>
              <a:cubicBezTo>
                <a:pt x="467" y="0"/>
                <a:pt x="601" y="134"/>
                <a:pt x="601" y="297"/>
              </a:cubicBezTo>
              <a:cubicBezTo>
                <a:pt x="601" y="466"/>
                <a:pt x="467" y="601"/>
                <a:pt x="297" y="601"/>
              </a:cubicBezTo>
              <a:close/>
              <a:moveTo>
                <a:pt x="57" y="297"/>
              </a:moveTo>
              <a:lnTo>
                <a:pt x="57" y="297"/>
              </a:lnTo>
              <a:cubicBezTo>
                <a:pt x="57" y="431"/>
                <a:pt x="163" y="544"/>
                <a:pt x="297" y="544"/>
              </a:cubicBezTo>
              <a:cubicBezTo>
                <a:pt x="431" y="544"/>
                <a:pt x="544" y="431"/>
                <a:pt x="544" y="297"/>
              </a:cubicBezTo>
              <a:cubicBezTo>
                <a:pt x="297" y="297"/>
                <a:pt x="297" y="297"/>
                <a:pt x="297" y="297"/>
              </a:cubicBezTo>
              <a:cubicBezTo>
                <a:pt x="297" y="56"/>
                <a:pt x="297" y="56"/>
                <a:pt x="297" y="56"/>
              </a:cubicBezTo>
              <a:cubicBezTo>
                <a:pt x="163" y="56"/>
                <a:pt x="57" y="162"/>
                <a:pt x="57" y="297"/>
              </a:cubicBezTo>
              <a:close/>
            </a:path>
          </a:pathLst>
        </a:custGeom>
        <a:solidFill>
          <a:schemeClr val="tx1"/>
        </a:solidFill>
        <a:ln w="9525">
          <a:solidFill>
            <a:srgbClr val="000000"/>
          </a:solidFill>
          <a:round/>
          <a:headEnd/>
          <a:tailEnd/>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solidFill>
              <a:sysClr val="windowText" lastClr="000000"/>
            </a:solidFill>
          </a:endParaRPr>
        </a:p>
      </xdr:txBody>
    </xdr:sp>
    <xdr:clientData/>
  </xdr:twoCellAnchor>
  <xdr:twoCellAnchor editAs="absolute">
    <xdr:from>
      <xdr:col>13</xdr:col>
      <xdr:colOff>135467</xdr:colOff>
      <xdr:row>18</xdr:row>
      <xdr:rowOff>95674</xdr:rowOff>
    </xdr:from>
    <xdr:to>
      <xdr:col>13</xdr:col>
      <xdr:colOff>327491</xdr:colOff>
      <xdr:row>19</xdr:row>
      <xdr:rowOff>101431</xdr:rowOff>
    </xdr:to>
    <xdr:sp macro="" textlink="">
      <xdr:nvSpPr>
        <xdr:cNvPr id="184" name="Freeform 78">
          <a:extLst>
            <a:ext uri="{FF2B5EF4-FFF2-40B4-BE49-F238E27FC236}">
              <a16:creationId xmlns:a16="http://schemas.microsoft.com/office/drawing/2014/main" id="{E6E6C79A-D257-469A-8125-7DFE28A44B91}"/>
            </a:ext>
          </a:extLst>
        </xdr:cNvPr>
        <xdr:cNvSpPr>
          <a:spLocks noChangeArrowheads="1"/>
        </xdr:cNvSpPr>
      </xdr:nvSpPr>
      <xdr:spPr bwMode="auto">
        <a:xfrm>
          <a:off x="8060267" y="3448474"/>
          <a:ext cx="192024" cy="192024"/>
        </a:xfrm>
        <a:custGeom>
          <a:avLst/>
          <a:gdLst>
            <a:gd name="T0" fmla="*/ 39230934 w 601"/>
            <a:gd name="T1" fmla="*/ 78442719 h 602"/>
            <a:gd name="T2" fmla="*/ 39230934 w 601"/>
            <a:gd name="T3" fmla="*/ 78442719 h 602"/>
            <a:gd name="T4" fmla="*/ 0 w 601"/>
            <a:gd name="T5" fmla="*/ 38764526 h 602"/>
            <a:gd name="T6" fmla="*/ 39230934 w 601"/>
            <a:gd name="T7" fmla="*/ 0 h 602"/>
            <a:gd name="T8" fmla="*/ 77429787 w 601"/>
            <a:gd name="T9" fmla="*/ 38764526 h 602"/>
            <a:gd name="T10" fmla="*/ 39230934 w 601"/>
            <a:gd name="T11" fmla="*/ 78442719 h 602"/>
            <a:gd name="T12" fmla="*/ 7226723 w 601"/>
            <a:gd name="T13" fmla="*/ 38764526 h 602"/>
            <a:gd name="T14" fmla="*/ 7226723 w 601"/>
            <a:gd name="T15" fmla="*/ 38764526 h 602"/>
            <a:gd name="T16" fmla="*/ 39230934 w 601"/>
            <a:gd name="T17" fmla="*/ 38764526 h 602"/>
            <a:gd name="T18" fmla="*/ 39230934 w 601"/>
            <a:gd name="T19" fmla="*/ 7308970 h 602"/>
            <a:gd name="T20" fmla="*/ 7226723 w 601"/>
            <a:gd name="T21" fmla="*/ 38764526 h 60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601" h="602">
              <a:moveTo>
                <a:pt x="304" y="601"/>
              </a:moveTo>
              <a:lnTo>
                <a:pt x="304" y="601"/>
              </a:lnTo>
              <a:cubicBezTo>
                <a:pt x="134" y="601"/>
                <a:pt x="0" y="466"/>
                <a:pt x="0" y="297"/>
              </a:cubicBezTo>
              <a:cubicBezTo>
                <a:pt x="0" y="134"/>
                <a:pt x="134" y="0"/>
                <a:pt x="304" y="0"/>
              </a:cubicBezTo>
              <a:cubicBezTo>
                <a:pt x="466" y="0"/>
                <a:pt x="600" y="134"/>
                <a:pt x="600" y="297"/>
              </a:cubicBezTo>
              <a:cubicBezTo>
                <a:pt x="600" y="466"/>
                <a:pt x="466" y="601"/>
                <a:pt x="304" y="601"/>
              </a:cubicBezTo>
              <a:close/>
              <a:moveTo>
                <a:pt x="56" y="297"/>
              </a:moveTo>
              <a:lnTo>
                <a:pt x="56" y="297"/>
              </a:lnTo>
              <a:cubicBezTo>
                <a:pt x="304" y="297"/>
                <a:pt x="304" y="297"/>
                <a:pt x="304" y="297"/>
              </a:cubicBezTo>
              <a:cubicBezTo>
                <a:pt x="304" y="56"/>
                <a:pt x="304" y="56"/>
                <a:pt x="304" y="56"/>
              </a:cubicBezTo>
              <a:cubicBezTo>
                <a:pt x="169" y="56"/>
                <a:pt x="56" y="162"/>
                <a:pt x="56" y="297"/>
              </a:cubicBezTo>
              <a:close/>
            </a:path>
          </a:pathLst>
        </a:custGeom>
        <a:solidFill>
          <a:schemeClr val="tx1"/>
        </a:solidFill>
        <a:ln>
          <a:noFill/>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p>
      </xdr:txBody>
    </xdr:sp>
    <xdr:clientData/>
  </xdr:twoCellAnchor>
  <xdr:twoCellAnchor editAs="absolute">
    <xdr:from>
      <xdr:col>5</xdr:col>
      <xdr:colOff>364067</xdr:colOff>
      <xdr:row>23</xdr:row>
      <xdr:rowOff>177800</xdr:rowOff>
    </xdr:from>
    <xdr:to>
      <xdr:col>10</xdr:col>
      <xdr:colOff>448733</xdr:colOff>
      <xdr:row>35</xdr:row>
      <xdr:rowOff>36407</xdr:rowOff>
    </xdr:to>
    <xdr:sp macro="" textlink="">
      <xdr:nvSpPr>
        <xdr:cNvPr id="189" name="Rectangle: Rounded Corners 188">
          <a:extLst>
            <a:ext uri="{FF2B5EF4-FFF2-40B4-BE49-F238E27FC236}">
              <a16:creationId xmlns:a16="http://schemas.microsoft.com/office/drawing/2014/main" id="{48A39716-8037-4E04-AD59-47FB55188B9A}"/>
            </a:ext>
          </a:extLst>
        </xdr:cNvPr>
        <xdr:cNvSpPr/>
      </xdr:nvSpPr>
      <xdr:spPr>
        <a:xfrm>
          <a:off x="3412067" y="4461933"/>
          <a:ext cx="313266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491068</xdr:colOff>
      <xdr:row>24</xdr:row>
      <xdr:rowOff>106678</xdr:rowOff>
    </xdr:from>
    <xdr:to>
      <xdr:col>7</xdr:col>
      <xdr:colOff>245533</xdr:colOff>
      <xdr:row>27</xdr:row>
      <xdr:rowOff>110067</xdr:rowOff>
    </xdr:to>
    <xdr:sp macro="" textlink="">
      <xdr:nvSpPr>
        <xdr:cNvPr id="190" name="TextBox 189">
          <a:extLst>
            <a:ext uri="{FF2B5EF4-FFF2-40B4-BE49-F238E27FC236}">
              <a16:creationId xmlns:a16="http://schemas.microsoft.com/office/drawing/2014/main" id="{378AC40F-80CA-40A4-B400-B3A758DAFB2A}"/>
            </a:ext>
          </a:extLst>
        </xdr:cNvPr>
        <xdr:cNvSpPr txBox="1"/>
      </xdr:nvSpPr>
      <xdr:spPr>
        <a:xfrm>
          <a:off x="3539068" y="4577078"/>
          <a:ext cx="973665"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Total Sales</a:t>
          </a:r>
        </a:p>
        <a:p>
          <a:pPr algn="l"/>
          <a:r>
            <a:rPr lang="en-IN" sz="1050" b="1" baseline="0">
              <a:solidFill>
                <a:schemeClr val="bg2">
                  <a:lumMod val="25000"/>
                </a:schemeClr>
              </a:solidFill>
              <a:latin typeface="+mn-lt"/>
              <a:cs typeface="Aharoni" panose="02010803020104030203" pitchFamily="2" charset="-79"/>
            </a:rPr>
            <a:t>by Sales Team</a:t>
          </a:r>
        </a:p>
      </xdr:txBody>
    </xdr:sp>
    <xdr:clientData/>
  </xdr:twoCellAnchor>
  <xdr:twoCellAnchor editAs="absolute">
    <xdr:from>
      <xdr:col>5</xdr:col>
      <xdr:colOff>364067</xdr:colOff>
      <xdr:row>26</xdr:row>
      <xdr:rowOff>16934</xdr:rowOff>
    </xdr:from>
    <xdr:to>
      <xdr:col>10</xdr:col>
      <xdr:colOff>440266</xdr:colOff>
      <xdr:row>35</xdr:row>
      <xdr:rowOff>76202</xdr:rowOff>
    </xdr:to>
    <xdr:graphicFrame macro="">
      <xdr:nvGraphicFramePr>
        <xdr:cNvPr id="193" name="Chart 192">
          <a:extLst>
            <a:ext uri="{FF2B5EF4-FFF2-40B4-BE49-F238E27FC236}">
              <a16:creationId xmlns:a16="http://schemas.microsoft.com/office/drawing/2014/main" id="{C95CDD3F-3706-4909-8A50-70C6F2347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8</xdr:col>
      <xdr:colOff>558800</xdr:colOff>
      <xdr:row>24</xdr:row>
      <xdr:rowOff>55879</xdr:rowOff>
    </xdr:from>
    <xdr:to>
      <xdr:col>10</xdr:col>
      <xdr:colOff>321733</xdr:colOff>
      <xdr:row>25</xdr:row>
      <xdr:rowOff>93134</xdr:rowOff>
    </xdr:to>
    <xdr:sp macro="" textlink="Pivot_tables!CF5">
      <xdr:nvSpPr>
        <xdr:cNvPr id="126" name="TextBox 125">
          <a:extLst>
            <a:ext uri="{FF2B5EF4-FFF2-40B4-BE49-F238E27FC236}">
              <a16:creationId xmlns:a16="http://schemas.microsoft.com/office/drawing/2014/main" id="{D21FD104-D0B3-49AA-9CD2-E429102C89A3}"/>
            </a:ext>
          </a:extLst>
        </xdr:cNvPr>
        <xdr:cNvSpPr txBox="1"/>
      </xdr:nvSpPr>
      <xdr:spPr>
        <a:xfrm>
          <a:off x="5435600" y="4526279"/>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F96F20-3443-42F4-901E-588A9A13FAB3}" type="TxLink">
            <a:rPr lang="en-US" sz="1400" b="0" i="0" u="none" strike="noStrike" baseline="0">
              <a:solidFill>
                <a:srgbClr val="000000"/>
              </a:solidFill>
              <a:latin typeface="+mn-lt"/>
              <a:cs typeface="Arial"/>
            </a:rPr>
            <a:pPr algn="ctr"/>
            <a:t>Hossam</a:t>
          </a:fld>
          <a:endParaRPr lang="en-IN" sz="12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558800</xdr:colOff>
      <xdr:row>25</xdr:row>
      <xdr:rowOff>64346</xdr:rowOff>
    </xdr:from>
    <xdr:to>
      <xdr:col>10</xdr:col>
      <xdr:colOff>321733</xdr:colOff>
      <xdr:row>26</xdr:row>
      <xdr:rowOff>101602</xdr:rowOff>
    </xdr:to>
    <xdr:sp macro="" textlink="Pivot_tables!CG5">
      <xdr:nvSpPr>
        <xdr:cNvPr id="127" name="TextBox 126">
          <a:extLst>
            <a:ext uri="{FF2B5EF4-FFF2-40B4-BE49-F238E27FC236}">
              <a16:creationId xmlns:a16="http://schemas.microsoft.com/office/drawing/2014/main" id="{19B82A93-A588-435C-A693-B615C714A553}"/>
            </a:ext>
          </a:extLst>
        </xdr:cNvPr>
        <xdr:cNvSpPr txBox="1"/>
      </xdr:nvSpPr>
      <xdr:spPr>
        <a:xfrm>
          <a:off x="5435600" y="4721013"/>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75BBC5-4027-4D29-8059-F4FBAD5C0054}" type="TxLink">
            <a:rPr lang="en-US" sz="1600" b="0" i="0" u="none" strike="noStrike" baseline="0">
              <a:solidFill>
                <a:srgbClr val="000000"/>
              </a:solidFill>
              <a:latin typeface="Arial"/>
              <a:cs typeface="Arial"/>
            </a:rPr>
            <a:pPr algn="ctr"/>
            <a:t>418.0M</a:t>
          </a:fld>
          <a:endParaRPr lang="en-IN" sz="14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381000</xdr:colOff>
      <xdr:row>24</xdr:row>
      <xdr:rowOff>101600</xdr:rowOff>
    </xdr:from>
    <xdr:to>
      <xdr:col>9</xdr:col>
      <xdr:colOff>143933</xdr:colOff>
      <xdr:row>26</xdr:row>
      <xdr:rowOff>101600</xdr:rowOff>
    </xdr:to>
    <xdr:pic>
      <xdr:nvPicPr>
        <xdr:cNvPr id="6" name="Graphic 5" descr="Medal">
          <a:extLst>
            <a:ext uri="{FF2B5EF4-FFF2-40B4-BE49-F238E27FC236}">
              <a16:creationId xmlns:a16="http://schemas.microsoft.com/office/drawing/2014/main" id="{D7187496-851E-49DC-A7DB-CB5CD3152F26}"/>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257800" y="4572000"/>
          <a:ext cx="372533" cy="372533"/>
        </a:xfrm>
        <a:prstGeom prst="rect">
          <a:avLst/>
        </a:prstGeom>
      </xdr:spPr>
    </xdr:pic>
    <xdr:clientData/>
  </xdr:twoCellAnchor>
  <xdr:twoCellAnchor editAs="absolute">
    <xdr:from>
      <xdr:col>8</xdr:col>
      <xdr:colOff>270933</xdr:colOff>
      <xdr:row>26</xdr:row>
      <xdr:rowOff>81278</xdr:rowOff>
    </xdr:from>
    <xdr:to>
      <xdr:col>11</xdr:col>
      <xdr:colOff>0</xdr:colOff>
      <xdr:row>27</xdr:row>
      <xdr:rowOff>127000</xdr:rowOff>
    </xdr:to>
    <xdr:sp macro="" textlink="">
      <xdr:nvSpPr>
        <xdr:cNvPr id="149" name="TextBox 148">
          <a:extLst>
            <a:ext uri="{FF2B5EF4-FFF2-40B4-BE49-F238E27FC236}">
              <a16:creationId xmlns:a16="http://schemas.microsoft.com/office/drawing/2014/main" id="{46C09E60-745C-4C58-B4D2-5C9204112C3A}"/>
            </a:ext>
          </a:extLst>
        </xdr:cNvPr>
        <xdr:cNvSpPr txBox="1"/>
      </xdr:nvSpPr>
      <xdr:spPr>
        <a:xfrm>
          <a:off x="5147733" y="4924211"/>
          <a:ext cx="1557867" cy="231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baseline="0">
              <a:solidFill>
                <a:schemeClr val="tx1">
                  <a:lumMod val="50000"/>
                  <a:lumOff val="50000"/>
                </a:schemeClr>
              </a:solidFill>
              <a:latin typeface="+mn-lt"/>
              <a:cs typeface="Aharoni" panose="02010803020104030203" pitchFamily="2" charset="-79"/>
            </a:rPr>
            <a:t>Top Selling Sales Team</a:t>
          </a:r>
        </a:p>
      </xdr:txBody>
    </xdr:sp>
    <xdr:clientData/>
  </xdr:twoCellAnchor>
  <xdr:twoCellAnchor editAs="absolute">
    <xdr:from>
      <xdr:col>10</xdr:col>
      <xdr:colOff>550331</xdr:colOff>
      <xdr:row>23</xdr:row>
      <xdr:rowOff>177800</xdr:rowOff>
    </xdr:from>
    <xdr:to>
      <xdr:col>17</xdr:col>
      <xdr:colOff>440267</xdr:colOff>
      <xdr:row>35</xdr:row>
      <xdr:rowOff>36407</xdr:rowOff>
    </xdr:to>
    <xdr:sp macro="" textlink="">
      <xdr:nvSpPr>
        <xdr:cNvPr id="164" name="Rectangle: Rounded Corners 163">
          <a:extLst>
            <a:ext uri="{FF2B5EF4-FFF2-40B4-BE49-F238E27FC236}">
              <a16:creationId xmlns:a16="http://schemas.microsoft.com/office/drawing/2014/main" id="{0935D871-0DE0-4A73-B700-16FAE4D4C792}"/>
            </a:ext>
          </a:extLst>
        </xdr:cNvPr>
        <xdr:cNvSpPr/>
      </xdr:nvSpPr>
      <xdr:spPr>
        <a:xfrm>
          <a:off x="6646331" y="4461933"/>
          <a:ext cx="415713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67735</xdr:colOff>
      <xdr:row>24</xdr:row>
      <xdr:rowOff>106678</xdr:rowOff>
    </xdr:from>
    <xdr:to>
      <xdr:col>13</xdr:col>
      <xdr:colOff>16933</xdr:colOff>
      <xdr:row>27</xdr:row>
      <xdr:rowOff>110067</xdr:rowOff>
    </xdr:to>
    <xdr:sp macro="" textlink="">
      <xdr:nvSpPr>
        <xdr:cNvPr id="165" name="TextBox 164">
          <a:extLst>
            <a:ext uri="{FF2B5EF4-FFF2-40B4-BE49-F238E27FC236}">
              <a16:creationId xmlns:a16="http://schemas.microsoft.com/office/drawing/2014/main" id="{5FCF6A79-8083-4F49-8B1C-9BED765F6D01}"/>
            </a:ext>
          </a:extLst>
        </xdr:cNvPr>
        <xdr:cNvSpPr txBox="1"/>
      </xdr:nvSpPr>
      <xdr:spPr>
        <a:xfrm>
          <a:off x="6773335" y="4577078"/>
          <a:ext cx="1168398"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baseline="0">
              <a:solidFill>
                <a:schemeClr val="bg2">
                  <a:lumMod val="25000"/>
                </a:schemeClr>
              </a:solidFill>
              <a:latin typeface="+mn-lt"/>
              <a:cs typeface="Aharoni" panose="02010803020104030203" pitchFamily="2" charset="-79"/>
            </a:rPr>
            <a:t>Consultant</a:t>
          </a:r>
        </a:p>
        <a:p>
          <a:pPr algn="l"/>
          <a:r>
            <a:rPr lang="en-IN" sz="1050" b="1" baseline="0">
              <a:solidFill>
                <a:schemeClr val="tx1">
                  <a:lumMod val="50000"/>
                  <a:lumOff val="50000"/>
                </a:schemeClr>
              </a:solidFill>
              <a:latin typeface="+mn-lt"/>
              <a:cs typeface="Aharoni" panose="02010803020104030203" pitchFamily="2" charset="-79"/>
            </a:rPr>
            <a:t>by Total Sales</a:t>
          </a:r>
        </a:p>
      </xdr:txBody>
    </xdr:sp>
    <xdr:clientData/>
  </xdr:twoCellAnchor>
  <xdr:twoCellAnchor editAs="absolute">
    <xdr:from>
      <xdr:col>10</xdr:col>
      <xdr:colOff>550331</xdr:colOff>
      <xdr:row>27</xdr:row>
      <xdr:rowOff>143933</xdr:rowOff>
    </xdr:from>
    <xdr:to>
      <xdr:col>17</xdr:col>
      <xdr:colOff>448733</xdr:colOff>
      <xdr:row>34</xdr:row>
      <xdr:rowOff>160866</xdr:rowOff>
    </xdr:to>
    <xdr:graphicFrame macro="">
      <xdr:nvGraphicFramePr>
        <xdr:cNvPr id="166" name="Chart 165">
          <a:extLst>
            <a:ext uri="{FF2B5EF4-FFF2-40B4-BE49-F238E27FC236}">
              <a16:creationId xmlns:a16="http://schemas.microsoft.com/office/drawing/2014/main" id="{FA87063F-75DB-4F17-9D4E-E01A36A63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143933</xdr:colOff>
      <xdr:row>12</xdr:row>
      <xdr:rowOff>67730</xdr:rowOff>
    </xdr:from>
    <xdr:to>
      <xdr:col>5</xdr:col>
      <xdr:colOff>237066</xdr:colOff>
      <xdr:row>35</xdr:row>
      <xdr:rowOff>33867</xdr:rowOff>
    </xdr:to>
    <xdr:sp macro="" textlink="">
      <xdr:nvSpPr>
        <xdr:cNvPr id="167" name="Rectangle: Rounded Corners 166">
          <a:extLst>
            <a:ext uri="{FF2B5EF4-FFF2-40B4-BE49-F238E27FC236}">
              <a16:creationId xmlns:a16="http://schemas.microsoft.com/office/drawing/2014/main" id="{E4344BE1-1189-4957-B32B-9E0670D48938}"/>
            </a:ext>
          </a:extLst>
        </xdr:cNvPr>
        <xdr:cNvSpPr/>
      </xdr:nvSpPr>
      <xdr:spPr>
        <a:xfrm>
          <a:off x="143933" y="2302930"/>
          <a:ext cx="3141133" cy="4250270"/>
        </a:xfrm>
        <a:prstGeom prst="roundRect">
          <a:avLst>
            <a:gd name="adj" fmla="val 6566"/>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245534</xdr:colOff>
      <xdr:row>13</xdr:row>
      <xdr:rowOff>13545</xdr:rowOff>
    </xdr:from>
    <xdr:to>
      <xdr:col>3</xdr:col>
      <xdr:colOff>42333</xdr:colOff>
      <xdr:row>14</xdr:row>
      <xdr:rowOff>93134</xdr:rowOff>
    </xdr:to>
    <xdr:sp macro="" textlink="">
      <xdr:nvSpPr>
        <xdr:cNvPr id="172" name="TextBox 171">
          <a:extLst>
            <a:ext uri="{FF2B5EF4-FFF2-40B4-BE49-F238E27FC236}">
              <a16:creationId xmlns:a16="http://schemas.microsoft.com/office/drawing/2014/main" id="{A8D5A320-C0D6-462F-832D-9DDEB7B08F0C}"/>
            </a:ext>
          </a:extLst>
        </xdr:cNvPr>
        <xdr:cNvSpPr txBox="1"/>
      </xdr:nvSpPr>
      <xdr:spPr>
        <a:xfrm>
          <a:off x="245534" y="24350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Advertising Channel</a:t>
          </a:r>
        </a:p>
      </xdr:txBody>
    </xdr:sp>
    <xdr:clientData/>
  </xdr:twoCellAnchor>
  <xdr:twoCellAnchor editAs="absolute">
    <xdr:from>
      <xdr:col>0</xdr:col>
      <xdr:colOff>372532</xdr:colOff>
      <xdr:row>14</xdr:row>
      <xdr:rowOff>67729</xdr:rowOff>
    </xdr:from>
    <xdr:to>
      <xdr:col>4</xdr:col>
      <xdr:colOff>576825</xdr:colOff>
      <xdr:row>26</xdr:row>
      <xdr:rowOff>135467</xdr:rowOff>
    </xdr:to>
    <xdr:graphicFrame macro="">
      <xdr:nvGraphicFramePr>
        <xdr:cNvPr id="173" name="Chart 172">
          <a:extLst>
            <a:ext uri="{FF2B5EF4-FFF2-40B4-BE49-F238E27FC236}">
              <a16:creationId xmlns:a16="http://schemas.microsoft.com/office/drawing/2014/main" id="{0A52CC34-344F-474D-98D4-29309D10A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2</xdr:col>
      <xdr:colOff>330201</xdr:colOff>
      <xdr:row>18</xdr:row>
      <xdr:rowOff>93130</xdr:rowOff>
    </xdr:from>
    <xdr:to>
      <xdr:col>3</xdr:col>
      <xdr:colOff>33871</xdr:colOff>
      <xdr:row>20</xdr:row>
      <xdr:rowOff>33867</xdr:rowOff>
    </xdr:to>
    <xdr:pic>
      <xdr:nvPicPr>
        <xdr:cNvPr id="13" name="Graphic 12" descr="Megaphone">
          <a:extLst>
            <a:ext uri="{FF2B5EF4-FFF2-40B4-BE49-F238E27FC236}">
              <a16:creationId xmlns:a16="http://schemas.microsoft.com/office/drawing/2014/main" id="{FB48229B-7B3D-4DA1-BDEC-E0989CC5CB75}"/>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549401" y="3445930"/>
          <a:ext cx="313270" cy="313270"/>
        </a:xfrm>
        <a:prstGeom prst="rect">
          <a:avLst/>
        </a:prstGeom>
      </xdr:spPr>
    </xdr:pic>
    <xdr:clientData/>
  </xdr:twoCellAnchor>
  <xdr:twoCellAnchor editAs="absolute">
    <xdr:from>
      <xdr:col>0</xdr:col>
      <xdr:colOff>228600</xdr:colOff>
      <xdr:row>26</xdr:row>
      <xdr:rowOff>72813</xdr:rowOff>
    </xdr:from>
    <xdr:to>
      <xdr:col>2</xdr:col>
      <xdr:colOff>237066</xdr:colOff>
      <xdr:row>27</xdr:row>
      <xdr:rowOff>135468</xdr:rowOff>
    </xdr:to>
    <xdr:sp macro="" textlink="">
      <xdr:nvSpPr>
        <xdr:cNvPr id="175" name="TextBox 174">
          <a:extLst>
            <a:ext uri="{FF2B5EF4-FFF2-40B4-BE49-F238E27FC236}">
              <a16:creationId xmlns:a16="http://schemas.microsoft.com/office/drawing/2014/main" id="{60E7642E-F043-457D-890B-58B25B34B3EC}"/>
            </a:ext>
          </a:extLst>
        </xdr:cNvPr>
        <xdr:cNvSpPr txBox="1"/>
      </xdr:nvSpPr>
      <xdr:spPr>
        <a:xfrm>
          <a:off x="2286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Company Website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28</xdr:row>
      <xdr:rowOff>165945</xdr:rowOff>
    </xdr:from>
    <xdr:to>
      <xdr:col>2</xdr:col>
      <xdr:colOff>110065</xdr:colOff>
      <xdr:row>30</xdr:row>
      <xdr:rowOff>84667</xdr:rowOff>
    </xdr:to>
    <xdr:sp macro="" textlink="">
      <xdr:nvSpPr>
        <xdr:cNvPr id="176" name="TextBox 175">
          <a:extLst>
            <a:ext uri="{FF2B5EF4-FFF2-40B4-BE49-F238E27FC236}">
              <a16:creationId xmlns:a16="http://schemas.microsoft.com/office/drawing/2014/main" id="{0637C9E8-1843-47DA-A928-E676F5DF4680}"/>
            </a:ext>
          </a:extLst>
        </xdr:cNvPr>
        <xdr:cNvSpPr txBox="1"/>
      </xdr:nvSpPr>
      <xdr:spPr>
        <a:xfrm>
          <a:off x="2286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Facebook Page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31</xdr:row>
      <xdr:rowOff>115145</xdr:rowOff>
    </xdr:from>
    <xdr:to>
      <xdr:col>3</xdr:col>
      <xdr:colOff>25399</xdr:colOff>
      <xdr:row>33</xdr:row>
      <xdr:rowOff>8467</xdr:rowOff>
    </xdr:to>
    <xdr:sp macro="" textlink="">
      <xdr:nvSpPr>
        <xdr:cNvPr id="177" name="TextBox 176">
          <a:extLst>
            <a:ext uri="{FF2B5EF4-FFF2-40B4-BE49-F238E27FC236}">
              <a16:creationId xmlns:a16="http://schemas.microsoft.com/office/drawing/2014/main" id="{D9D95A81-334C-4B8D-80EA-C12B5C882100}"/>
            </a:ext>
          </a:extLst>
        </xdr:cNvPr>
        <xdr:cNvSpPr txBox="1"/>
      </xdr:nvSpPr>
      <xdr:spPr>
        <a:xfrm>
          <a:off x="2286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Google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27</xdr:row>
      <xdr:rowOff>72815</xdr:rowOff>
    </xdr:from>
    <xdr:to>
      <xdr:col>2</xdr:col>
      <xdr:colOff>237066</xdr:colOff>
      <xdr:row>28</xdr:row>
      <xdr:rowOff>135470</xdr:rowOff>
    </xdr:to>
    <xdr:sp macro="" textlink="Pivot_tables!CR6">
      <xdr:nvSpPr>
        <xdr:cNvPr id="181" name="TextBox 180">
          <a:extLst>
            <a:ext uri="{FF2B5EF4-FFF2-40B4-BE49-F238E27FC236}">
              <a16:creationId xmlns:a16="http://schemas.microsoft.com/office/drawing/2014/main" id="{69F8B3FF-0E9A-42A3-89E9-3CAB869749D6}"/>
            </a:ext>
          </a:extLst>
        </xdr:cNvPr>
        <xdr:cNvSpPr txBox="1"/>
      </xdr:nvSpPr>
      <xdr:spPr>
        <a:xfrm>
          <a:off x="2286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653F6C0-E0B7-463B-BF88-8AFA724B1ADA}" type="TxLink">
            <a:rPr lang="en-US" sz="1000" b="0" i="0" u="none" strike="noStrike" baseline="0">
              <a:solidFill>
                <a:schemeClr val="tx1">
                  <a:lumMod val="50000"/>
                  <a:lumOff val="50000"/>
                </a:schemeClr>
              </a:solidFill>
              <a:latin typeface="Arial"/>
              <a:cs typeface="Arial"/>
            </a:rPr>
            <a:pPr algn="l"/>
            <a:t>100.0M</a:t>
          </a:fld>
          <a:endParaRPr lang="en-IN" sz="100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0</xdr:col>
      <xdr:colOff>228600</xdr:colOff>
      <xdr:row>29</xdr:row>
      <xdr:rowOff>165945</xdr:rowOff>
    </xdr:from>
    <xdr:to>
      <xdr:col>2</xdr:col>
      <xdr:colOff>237066</xdr:colOff>
      <xdr:row>31</xdr:row>
      <xdr:rowOff>42333</xdr:rowOff>
    </xdr:to>
    <xdr:sp macro="" textlink="Pivot_tables!CS6">
      <xdr:nvSpPr>
        <xdr:cNvPr id="182" name="TextBox 181">
          <a:extLst>
            <a:ext uri="{FF2B5EF4-FFF2-40B4-BE49-F238E27FC236}">
              <a16:creationId xmlns:a16="http://schemas.microsoft.com/office/drawing/2014/main" id="{41DF2AB9-D47C-4141-987B-D24F303FD803}"/>
            </a:ext>
          </a:extLst>
        </xdr:cNvPr>
        <xdr:cNvSpPr txBox="1"/>
      </xdr:nvSpPr>
      <xdr:spPr>
        <a:xfrm>
          <a:off x="2286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6A7BE59-2990-409A-8BC0-32288BC63810}" type="TxLink">
            <a:rPr lang="en-US" sz="1000" b="0" i="0" u="none" strike="noStrike" baseline="0">
              <a:solidFill>
                <a:schemeClr val="tx1">
                  <a:lumMod val="50000"/>
                  <a:lumOff val="50000"/>
                </a:schemeClr>
              </a:solidFill>
              <a:latin typeface="Arial"/>
              <a:ea typeface="+mn-ea"/>
              <a:cs typeface="Arial"/>
            </a:rPr>
            <a:pPr marL="0" indent="0" algn="l"/>
            <a:t>334.0M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0</xdr:col>
      <xdr:colOff>228600</xdr:colOff>
      <xdr:row>32</xdr:row>
      <xdr:rowOff>115147</xdr:rowOff>
    </xdr:from>
    <xdr:to>
      <xdr:col>2</xdr:col>
      <xdr:colOff>237066</xdr:colOff>
      <xdr:row>33</xdr:row>
      <xdr:rowOff>177802</xdr:rowOff>
    </xdr:to>
    <xdr:sp macro="" textlink="Pivot_tables!CT6">
      <xdr:nvSpPr>
        <xdr:cNvPr id="185" name="TextBox 184">
          <a:extLst>
            <a:ext uri="{FF2B5EF4-FFF2-40B4-BE49-F238E27FC236}">
              <a16:creationId xmlns:a16="http://schemas.microsoft.com/office/drawing/2014/main" id="{386C1892-81E0-4E0C-9709-C761F3758798}"/>
            </a:ext>
          </a:extLst>
        </xdr:cNvPr>
        <xdr:cNvSpPr txBox="1"/>
      </xdr:nvSpPr>
      <xdr:spPr>
        <a:xfrm>
          <a:off x="2286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920D1F5-755E-4FD3-9BA2-6D68903F0916}" type="TxLink">
            <a:rPr lang="en-US" sz="1000" b="0" i="0" u="none" strike="noStrike" baseline="0">
              <a:solidFill>
                <a:schemeClr val="tx1">
                  <a:lumMod val="50000"/>
                  <a:lumOff val="50000"/>
                </a:schemeClr>
              </a:solidFill>
              <a:latin typeface="Arial"/>
              <a:ea typeface="+mn-ea"/>
              <a:cs typeface="Arial"/>
            </a:rPr>
            <a:pPr marL="0" indent="0" algn="l"/>
            <a:t>188.0M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26</xdr:row>
      <xdr:rowOff>72813</xdr:rowOff>
    </xdr:from>
    <xdr:to>
      <xdr:col>4</xdr:col>
      <xdr:colOff>440266</xdr:colOff>
      <xdr:row>27</xdr:row>
      <xdr:rowOff>135468</xdr:rowOff>
    </xdr:to>
    <xdr:sp macro="" textlink="">
      <xdr:nvSpPr>
        <xdr:cNvPr id="186" name="TextBox 185">
          <a:extLst>
            <a:ext uri="{FF2B5EF4-FFF2-40B4-BE49-F238E27FC236}">
              <a16:creationId xmlns:a16="http://schemas.microsoft.com/office/drawing/2014/main" id="{389337F0-E3EA-4F16-A4F2-B2E6A0918A0C}"/>
            </a:ext>
          </a:extLst>
        </xdr:cNvPr>
        <xdr:cNvSpPr txBox="1"/>
      </xdr:nvSpPr>
      <xdr:spPr>
        <a:xfrm>
          <a:off x="16510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Television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28</xdr:row>
      <xdr:rowOff>165945</xdr:rowOff>
    </xdr:from>
    <xdr:to>
      <xdr:col>4</xdr:col>
      <xdr:colOff>313265</xdr:colOff>
      <xdr:row>30</xdr:row>
      <xdr:rowOff>84667</xdr:rowOff>
    </xdr:to>
    <xdr:sp macro="" textlink="">
      <xdr:nvSpPr>
        <xdr:cNvPr id="187" name="TextBox 186">
          <a:extLst>
            <a:ext uri="{FF2B5EF4-FFF2-40B4-BE49-F238E27FC236}">
              <a16:creationId xmlns:a16="http://schemas.microsoft.com/office/drawing/2014/main" id="{36922E9E-9892-4FC3-B7C6-C19CC54E4612}"/>
            </a:ext>
          </a:extLst>
        </xdr:cNvPr>
        <xdr:cNvSpPr txBox="1"/>
      </xdr:nvSpPr>
      <xdr:spPr>
        <a:xfrm>
          <a:off x="16510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WhatsApp</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31</xdr:row>
      <xdr:rowOff>115145</xdr:rowOff>
    </xdr:from>
    <xdr:to>
      <xdr:col>5</xdr:col>
      <xdr:colOff>228599</xdr:colOff>
      <xdr:row>33</xdr:row>
      <xdr:rowOff>8467</xdr:rowOff>
    </xdr:to>
    <xdr:sp macro="" textlink="">
      <xdr:nvSpPr>
        <xdr:cNvPr id="188" name="TextBox 187">
          <a:extLst>
            <a:ext uri="{FF2B5EF4-FFF2-40B4-BE49-F238E27FC236}">
              <a16:creationId xmlns:a16="http://schemas.microsoft.com/office/drawing/2014/main" id="{B657889B-93B4-4265-B8AE-6A96C84FDF79}"/>
            </a:ext>
          </a:extLst>
        </xdr:cNvPr>
        <xdr:cNvSpPr txBox="1"/>
      </xdr:nvSpPr>
      <xdr:spPr>
        <a:xfrm>
          <a:off x="16510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Youtube Channel</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27</xdr:row>
      <xdr:rowOff>72815</xdr:rowOff>
    </xdr:from>
    <xdr:to>
      <xdr:col>4</xdr:col>
      <xdr:colOff>440266</xdr:colOff>
      <xdr:row>28</xdr:row>
      <xdr:rowOff>135470</xdr:rowOff>
    </xdr:to>
    <xdr:sp macro="" textlink="Pivot_tables!CU6">
      <xdr:nvSpPr>
        <xdr:cNvPr id="191" name="TextBox 190">
          <a:extLst>
            <a:ext uri="{FF2B5EF4-FFF2-40B4-BE49-F238E27FC236}">
              <a16:creationId xmlns:a16="http://schemas.microsoft.com/office/drawing/2014/main" id="{882D143F-027F-42A6-8257-54E8E78CC1B0}"/>
            </a:ext>
          </a:extLst>
        </xdr:cNvPr>
        <xdr:cNvSpPr txBox="1"/>
      </xdr:nvSpPr>
      <xdr:spPr>
        <a:xfrm>
          <a:off x="16510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66B086D-21DE-4050-9946-D6984352F09E}" type="TxLink">
            <a:rPr lang="en-US" sz="1000" b="0" i="0" u="none" strike="noStrike" baseline="0">
              <a:solidFill>
                <a:schemeClr val="tx1">
                  <a:lumMod val="50000"/>
                  <a:lumOff val="50000"/>
                </a:schemeClr>
              </a:solidFill>
              <a:latin typeface="Arial"/>
              <a:ea typeface="+mn-ea"/>
              <a:cs typeface="Arial"/>
            </a:rPr>
            <a:pPr marL="0" indent="0" algn="l"/>
            <a:t>202.0M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29</xdr:row>
      <xdr:rowOff>165945</xdr:rowOff>
    </xdr:from>
    <xdr:to>
      <xdr:col>4</xdr:col>
      <xdr:colOff>440266</xdr:colOff>
      <xdr:row>31</xdr:row>
      <xdr:rowOff>42333</xdr:rowOff>
    </xdr:to>
    <xdr:sp macro="" textlink="Pivot_tables!CV6">
      <xdr:nvSpPr>
        <xdr:cNvPr id="192" name="TextBox 191">
          <a:extLst>
            <a:ext uri="{FF2B5EF4-FFF2-40B4-BE49-F238E27FC236}">
              <a16:creationId xmlns:a16="http://schemas.microsoft.com/office/drawing/2014/main" id="{19A73B10-3256-403D-B34E-F080DD86DA79}"/>
            </a:ext>
          </a:extLst>
        </xdr:cNvPr>
        <xdr:cNvSpPr txBox="1"/>
      </xdr:nvSpPr>
      <xdr:spPr>
        <a:xfrm>
          <a:off x="16510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96B1113-41AB-4713-B0D2-31DC2097E8B7}" type="TxLink">
            <a:rPr lang="en-US" sz="1000" b="0" i="0" u="none" strike="noStrike" baseline="0">
              <a:solidFill>
                <a:schemeClr val="tx1">
                  <a:lumMod val="50000"/>
                  <a:lumOff val="50000"/>
                </a:schemeClr>
              </a:solidFill>
              <a:latin typeface="Arial"/>
              <a:ea typeface="+mn-ea"/>
              <a:cs typeface="Arial"/>
            </a:rPr>
            <a:pPr marL="0" indent="0" algn="l"/>
            <a:t>160.0M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32</xdr:row>
      <xdr:rowOff>115147</xdr:rowOff>
    </xdr:from>
    <xdr:to>
      <xdr:col>4</xdr:col>
      <xdr:colOff>440266</xdr:colOff>
      <xdr:row>33</xdr:row>
      <xdr:rowOff>177802</xdr:rowOff>
    </xdr:to>
    <xdr:sp macro="" textlink="Pivot_tables!CW6">
      <xdr:nvSpPr>
        <xdr:cNvPr id="194" name="TextBox 193">
          <a:extLst>
            <a:ext uri="{FF2B5EF4-FFF2-40B4-BE49-F238E27FC236}">
              <a16:creationId xmlns:a16="http://schemas.microsoft.com/office/drawing/2014/main" id="{6C85B817-205D-45AC-905F-D257771B1AD8}"/>
            </a:ext>
          </a:extLst>
        </xdr:cNvPr>
        <xdr:cNvSpPr txBox="1"/>
      </xdr:nvSpPr>
      <xdr:spPr>
        <a:xfrm>
          <a:off x="16510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2B0C3F-5E3D-42C8-B56B-75F9ECC31545}" type="TxLink">
            <a:rPr lang="en-US" sz="1000" b="0" i="0" u="none" strike="noStrike" baseline="0">
              <a:solidFill>
                <a:schemeClr val="tx1">
                  <a:lumMod val="50000"/>
                  <a:lumOff val="50000"/>
                </a:schemeClr>
              </a:solidFill>
              <a:latin typeface="Arial"/>
              <a:ea typeface="+mn-ea"/>
              <a:cs typeface="Arial"/>
            </a:rPr>
            <a:pPr marL="0" indent="0" algn="l"/>
            <a:t>-</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17</xdr:col>
      <xdr:colOff>431800</xdr:colOff>
      <xdr:row>35</xdr:row>
      <xdr:rowOff>166368</xdr:rowOff>
    </xdr:from>
    <xdr:to>
      <xdr:col>26</xdr:col>
      <xdr:colOff>330133</xdr:colOff>
      <xdr:row>47</xdr:row>
      <xdr:rowOff>0</xdr:rowOff>
    </xdr:to>
    <xdr:sp macro="" textlink="">
      <xdr:nvSpPr>
        <xdr:cNvPr id="196" name="Rectangle: Rounded Corners 195">
          <a:extLst>
            <a:ext uri="{FF2B5EF4-FFF2-40B4-BE49-F238E27FC236}">
              <a16:creationId xmlns:a16="http://schemas.microsoft.com/office/drawing/2014/main" id="{B83D7F87-6246-4C13-ABF9-507A830D0E88}"/>
            </a:ext>
          </a:extLst>
        </xdr:cNvPr>
        <xdr:cNvSpPr/>
      </xdr:nvSpPr>
      <xdr:spPr>
        <a:xfrm>
          <a:off x="10795000" y="6685701"/>
          <a:ext cx="5384733"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67733</xdr:colOff>
      <xdr:row>36</xdr:row>
      <xdr:rowOff>110065</xdr:rowOff>
    </xdr:from>
    <xdr:to>
      <xdr:col>26</xdr:col>
      <xdr:colOff>220133</xdr:colOff>
      <xdr:row>47</xdr:row>
      <xdr:rowOff>25400</xdr:rowOff>
    </xdr:to>
    <xdr:graphicFrame macro="">
      <xdr:nvGraphicFramePr>
        <xdr:cNvPr id="195" name="Chart 194">
          <a:extLst>
            <a:ext uri="{FF2B5EF4-FFF2-40B4-BE49-F238E27FC236}">
              <a16:creationId xmlns:a16="http://schemas.microsoft.com/office/drawing/2014/main" id="{2EAC5325-2DDA-4391-8BAE-50B034FD0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absolute">
    <xdr:from>
      <xdr:col>18</xdr:col>
      <xdr:colOff>575735</xdr:colOff>
      <xdr:row>36</xdr:row>
      <xdr:rowOff>84667</xdr:rowOff>
    </xdr:from>
    <xdr:to>
      <xdr:col>21</xdr:col>
      <xdr:colOff>16935</xdr:colOff>
      <xdr:row>38</xdr:row>
      <xdr:rowOff>177801</xdr:rowOff>
    </xdr:to>
    <xdr:sp macro="" textlink="">
      <xdr:nvSpPr>
        <xdr:cNvPr id="198" name="TextBox 197">
          <a:extLst>
            <a:ext uri="{FF2B5EF4-FFF2-40B4-BE49-F238E27FC236}">
              <a16:creationId xmlns:a16="http://schemas.microsoft.com/office/drawing/2014/main" id="{CEC530AF-D135-42AE-A913-1472014269EF}"/>
            </a:ext>
          </a:extLst>
        </xdr:cNvPr>
        <xdr:cNvSpPr txBox="1"/>
      </xdr:nvSpPr>
      <xdr:spPr>
        <a:xfrm>
          <a:off x="11548535" y="6790267"/>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Advertisement</a:t>
          </a:r>
        </a:p>
        <a:p>
          <a:pPr algn="l"/>
          <a:r>
            <a:rPr lang="en-IN" sz="1100" b="1" baseline="0">
              <a:solidFill>
                <a:schemeClr val="tx1">
                  <a:lumMod val="50000"/>
                  <a:lumOff val="50000"/>
                </a:schemeClr>
              </a:solidFill>
              <a:latin typeface="+mn-lt"/>
              <a:cs typeface="Aharoni" panose="02010803020104030203" pitchFamily="2" charset="-79"/>
            </a:rPr>
            <a:t>by Sales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11</xdr:col>
      <xdr:colOff>397933</xdr:colOff>
      <xdr:row>36</xdr:row>
      <xdr:rowOff>8467</xdr:rowOff>
    </xdr:from>
    <xdr:to>
      <xdr:col>17</xdr:col>
      <xdr:colOff>296255</xdr:colOff>
      <xdr:row>47</xdr:row>
      <xdr:rowOff>8467</xdr:rowOff>
    </xdr:to>
    <xdr:sp macro="" textlink="">
      <xdr:nvSpPr>
        <xdr:cNvPr id="200" name="Rectangle: Rounded Corners 199">
          <a:extLst>
            <a:ext uri="{FF2B5EF4-FFF2-40B4-BE49-F238E27FC236}">
              <a16:creationId xmlns:a16="http://schemas.microsoft.com/office/drawing/2014/main" id="{EE415413-0954-4EA6-8B71-A4548935AFD1}"/>
            </a:ext>
          </a:extLst>
        </xdr:cNvPr>
        <xdr:cNvSpPr/>
      </xdr:nvSpPr>
      <xdr:spPr>
        <a:xfrm>
          <a:off x="7103533" y="6714067"/>
          <a:ext cx="3555922"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editAs="absolute">
    <xdr:from>
      <xdr:col>11</xdr:col>
      <xdr:colOff>423334</xdr:colOff>
      <xdr:row>37</xdr:row>
      <xdr:rowOff>169332</xdr:rowOff>
    </xdr:from>
    <xdr:to>
      <xdr:col>17</xdr:col>
      <xdr:colOff>237066</xdr:colOff>
      <xdr:row>46</xdr:row>
      <xdr:rowOff>169760</xdr:rowOff>
    </xdr:to>
    <xdr:graphicFrame macro="">
      <xdr:nvGraphicFramePr>
        <xdr:cNvPr id="201" name="Chart 200">
          <a:extLst>
            <a:ext uri="{FF2B5EF4-FFF2-40B4-BE49-F238E27FC236}">
              <a16:creationId xmlns:a16="http://schemas.microsoft.com/office/drawing/2014/main" id="{DC9B63AD-AD93-45A1-A8A8-F43D8D85C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11</xdr:col>
      <xdr:colOff>397933</xdr:colOff>
      <xdr:row>36</xdr:row>
      <xdr:rowOff>76200</xdr:rowOff>
    </xdr:from>
    <xdr:to>
      <xdr:col>15</xdr:col>
      <xdr:colOff>389467</xdr:colOff>
      <xdr:row>37</xdr:row>
      <xdr:rowOff>177800</xdr:rowOff>
    </xdr:to>
    <xdr:sp macro="" textlink="">
      <xdr:nvSpPr>
        <xdr:cNvPr id="202" name="TextBox 201">
          <a:extLst>
            <a:ext uri="{FF2B5EF4-FFF2-40B4-BE49-F238E27FC236}">
              <a16:creationId xmlns:a16="http://schemas.microsoft.com/office/drawing/2014/main" id="{3AFC9D9E-8689-41A6-9BD9-8EDA97CED45C}"/>
            </a:ext>
          </a:extLst>
        </xdr:cNvPr>
        <xdr:cNvSpPr txBox="1"/>
      </xdr:nvSpPr>
      <xdr:spPr>
        <a:xfrm>
          <a:off x="7103533" y="6781800"/>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Sales Team</a:t>
          </a:r>
        </a:p>
      </xdr:txBody>
    </xdr:sp>
    <xdr:clientData/>
  </xdr:twoCellAnchor>
  <xdr:twoCellAnchor editAs="absolute">
    <xdr:from>
      <xdr:col>8</xdr:col>
      <xdr:colOff>296334</xdr:colOff>
      <xdr:row>35</xdr:row>
      <xdr:rowOff>186266</xdr:rowOff>
    </xdr:from>
    <xdr:to>
      <xdr:col>11</xdr:col>
      <xdr:colOff>279400</xdr:colOff>
      <xdr:row>47</xdr:row>
      <xdr:rowOff>16934</xdr:rowOff>
    </xdr:to>
    <xdr:sp macro="" textlink="">
      <xdr:nvSpPr>
        <xdr:cNvPr id="203" name="Rectangle: Rounded Corners 202">
          <a:extLst>
            <a:ext uri="{FF2B5EF4-FFF2-40B4-BE49-F238E27FC236}">
              <a16:creationId xmlns:a16="http://schemas.microsoft.com/office/drawing/2014/main" id="{D2BC157E-CA7B-45CF-9CB1-59AF0D52FBF2}"/>
            </a:ext>
          </a:extLst>
        </xdr:cNvPr>
        <xdr:cNvSpPr/>
      </xdr:nvSpPr>
      <xdr:spPr>
        <a:xfrm>
          <a:off x="5173134" y="6705599"/>
          <a:ext cx="1811866" cy="2065868"/>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459402</xdr:colOff>
      <xdr:row>36</xdr:row>
      <xdr:rowOff>157480</xdr:rowOff>
    </xdr:from>
    <xdr:to>
      <xdr:col>10</xdr:col>
      <xdr:colOff>459402</xdr:colOff>
      <xdr:row>39</xdr:row>
      <xdr:rowOff>16933</xdr:rowOff>
    </xdr:to>
    <xdr:sp macro="" textlink="">
      <xdr:nvSpPr>
        <xdr:cNvPr id="205" name="TextBox 204">
          <a:extLst>
            <a:ext uri="{FF2B5EF4-FFF2-40B4-BE49-F238E27FC236}">
              <a16:creationId xmlns:a16="http://schemas.microsoft.com/office/drawing/2014/main" id="{A7EA438F-1168-4216-BD58-5613AFD54F2A}"/>
            </a:ext>
          </a:extLst>
        </xdr:cNvPr>
        <xdr:cNvSpPr txBox="1"/>
      </xdr:nvSpPr>
      <xdr:spPr>
        <a:xfrm>
          <a:off x="5336202" y="6863080"/>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a:solidFill>
                <a:schemeClr val="bg1"/>
              </a:solidFill>
              <a:latin typeface="+mn-lt"/>
              <a:cs typeface="Aharoni" panose="02010803020104030203" pitchFamily="2" charset="-79"/>
            </a:rPr>
            <a:t>Monthly</a:t>
          </a:r>
        </a:p>
        <a:p>
          <a:pPr algn="l"/>
          <a:r>
            <a:rPr lang="en-IN" sz="1000" b="1">
              <a:solidFill>
                <a:schemeClr val="bg1"/>
              </a:solidFill>
              <a:latin typeface="+mn-lt"/>
              <a:cs typeface="Aharoni" panose="02010803020104030203" pitchFamily="2" charset="-79"/>
            </a:rPr>
            <a:t>Slicer</a:t>
          </a:r>
        </a:p>
      </xdr:txBody>
    </xdr:sp>
    <xdr:clientData/>
  </xdr:twoCellAnchor>
  <xdr:twoCellAnchor editAs="absolute">
    <xdr:from>
      <xdr:col>8</xdr:col>
      <xdr:colOff>482601</xdr:colOff>
      <xdr:row>39</xdr:row>
      <xdr:rowOff>67734</xdr:rowOff>
    </xdr:from>
    <xdr:to>
      <xdr:col>10</xdr:col>
      <xdr:colOff>97029</xdr:colOff>
      <xdr:row>39</xdr:row>
      <xdr:rowOff>67734</xdr:rowOff>
    </xdr:to>
    <xdr:cxnSp macro="">
      <xdr:nvCxnSpPr>
        <xdr:cNvPr id="207" name="Straight Connector 206">
          <a:extLst>
            <a:ext uri="{FF2B5EF4-FFF2-40B4-BE49-F238E27FC236}">
              <a16:creationId xmlns:a16="http://schemas.microsoft.com/office/drawing/2014/main" id="{8B532083-A2B0-48B0-BD37-6CA4532DCFF7}"/>
            </a:ext>
          </a:extLst>
        </xdr:cNvPr>
        <xdr:cNvCxnSpPr/>
      </xdr:nvCxnSpPr>
      <xdr:spPr>
        <a:xfrm>
          <a:off x="5359401" y="7332134"/>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8</xdr:col>
      <xdr:colOff>347134</xdr:colOff>
      <xdr:row>39</xdr:row>
      <xdr:rowOff>101600</xdr:rowOff>
    </xdr:from>
    <xdr:to>
      <xdr:col>10</xdr:col>
      <xdr:colOff>550333</xdr:colOff>
      <xdr:row>46</xdr:row>
      <xdr:rowOff>70272</xdr:rowOff>
    </xdr:to>
    <mc:AlternateContent xmlns:mc="http://schemas.openxmlformats.org/markup-compatibility/2006" xmlns:a14="http://schemas.microsoft.com/office/drawing/2010/main">
      <mc:Choice Requires="a14">
        <xdr:graphicFrame macro="">
          <xdr:nvGraphicFramePr>
            <xdr:cNvPr id="209" name="Sale Team">
              <a:extLst>
                <a:ext uri="{FF2B5EF4-FFF2-40B4-BE49-F238E27FC236}">
                  <a16:creationId xmlns:a16="http://schemas.microsoft.com/office/drawing/2014/main" id="{E215B364-67C1-402E-B9A9-367B1D08928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 Team"/>
            </a:graphicData>
          </a:graphic>
        </xdr:graphicFrame>
      </mc:Choice>
      <mc:Fallback xmlns="">
        <xdr:sp macro="" textlink="">
          <xdr:nvSpPr>
            <xdr:cNvPr id="0" name=""/>
            <xdr:cNvSpPr>
              <a:spLocks noTextEdit="1"/>
            </xdr:cNvSpPr>
          </xdr:nvSpPr>
          <xdr:spPr>
            <a:xfrm>
              <a:off x="5223934" y="7366000"/>
              <a:ext cx="1422399" cy="1272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169333</xdr:colOff>
      <xdr:row>35</xdr:row>
      <xdr:rowOff>166368</xdr:rowOff>
    </xdr:from>
    <xdr:to>
      <xdr:col>8</xdr:col>
      <xdr:colOff>169333</xdr:colOff>
      <xdr:row>47</xdr:row>
      <xdr:rowOff>0</xdr:rowOff>
    </xdr:to>
    <xdr:sp macro="" textlink="">
      <xdr:nvSpPr>
        <xdr:cNvPr id="211" name="Rectangle: Rounded Corners 210">
          <a:extLst>
            <a:ext uri="{FF2B5EF4-FFF2-40B4-BE49-F238E27FC236}">
              <a16:creationId xmlns:a16="http://schemas.microsoft.com/office/drawing/2014/main" id="{8DB090E7-FEED-498F-A2E3-0CF6B6BA0C11}"/>
            </a:ext>
          </a:extLst>
        </xdr:cNvPr>
        <xdr:cNvSpPr/>
      </xdr:nvSpPr>
      <xdr:spPr>
        <a:xfrm>
          <a:off x="169333" y="6685701"/>
          <a:ext cx="4876800"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editAs="absolute">
    <xdr:from>
      <xdr:col>0</xdr:col>
      <xdr:colOff>304800</xdr:colOff>
      <xdr:row>36</xdr:row>
      <xdr:rowOff>84666</xdr:rowOff>
    </xdr:from>
    <xdr:to>
      <xdr:col>7</xdr:col>
      <xdr:colOff>592667</xdr:colOff>
      <xdr:row>46</xdr:row>
      <xdr:rowOff>169333</xdr:rowOff>
    </xdr:to>
    <xdr:graphicFrame macro="">
      <xdr:nvGraphicFramePr>
        <xdr:cNvPr id="210" name="Chart 209">
          <a:extLst>
            <a:ext uri="{FF2B5EF4-FFF2-40B4-BE49-F238E27FC236}">
              <a16:creationId xmlns:a16="http://schemas.microsoft.com/office/drawing/2014/main" id="{FDCD9C4A-CA6E-4252-9435-585EAE8D6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absolute">
    <xdr:from>
      <xdr:col>0</xdr:col>
      <xdr:colOff>262466</xdr:colOff>
      <xdr:row>45</xdr:row>
      <xdr:rowOff>16933</xdr:rowOff>
    </xdr:from>
    <xdr:to>
      <xdr:col>4</xdr:col>
      <xdr:colOff>254000</xdr:colOff>
      <xdr:row>46</xdr:row>
      <xdr:rowOff>118533</xdr:rowOff>
    </xdr:to>
    <xdr:sp macro="" textlink="">
      <xdr:nvSpPr>
        <xdr:cNvPr id="212" name="TextBox 211">
          <a:extLst>
            <a:ext uri="{FF2B5EF4-FFF2-40B4-BE49-F238E27FC236}">
              <a16:creationId xmlns:a16="http://schemas.microsoft.com/office/drawing/2014/main" id="{87C35B25-56FD-4B12-8A9B-915E8E9C059C}"/>
            </a:ext>
          </a:extLst>
        </xdr:cNvPr>
        <xdr:cNvSpPr txBox="1"/>
      </xdr:nvSpPr>
      <xdr:spPr>
        <a:xfrm>
          <a:off x="262466" y="8398933"/>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Consultant</a:t>
          </a:r>
        </a:p>
      </xdr:txBody>
    </xdr:sp>
    <xdr:clientData/>
  </xdr:twoCellAnchor>
  <xdr:twoCellAnchor editAs="oneCell">
    <xdr:from>
      <xdr:col>22</xdr:col>
      <xdr:colOff>59267</xdr:colOff>
      <xdr:row>1</xdr:row>
      <xdr:rowOff>33866</xdr:rowOff>
    </xdr:from>
    <xdr:to>
      <xdr:col>22</xdr:col>
      <xdr:colOff>364067</xdr:colOff>
      <xdr:row>2</xdr:row>
      <xdr:rowOff>152400</xdr:rowOff>
    </xdr:to>
    <xdr:pic macro="[0]!ThisWorkbook.fullsc">
      <xdr:nvPicPr>
        <xdr:cNvPr id="20" name="Graphic 19" descr="Presentation with media">
          <a:extLst>
            <a:ext uri="{FF2B5EF4-FFF2-40B4-BE49-F238E27FC236}">
              <a16:creationId xmlns:a16="http://schemas.microsoft.com/office/drawing/2014/main" id="{633F1B7D-EDD2-4671-87AE-16D58AFEB049}"/>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3470467" y="220133"/>
          <a:ext cx="304800" cy="304800"/>
        </a:xfrm>
        <a:prstGeom prst="rect">
          <a:avLst/>
        </a:prstGeom>
      </xdr:spPr>
    </xdr:pic>
    <xdr:clientData/>
  </xdr:twoCellAnchor>
  <xdr:twoCellAnchor editAs="absolute">
    <xdr:from>
      <xdr:col>18</xdr:col>
      <xdr:colOff>355604</xdr:colOff>
      <xdr:row>24</xdr:row>
      <xdr:rowOff>53339</xdr:rowOff>
    </xdr:from>
    <xdr:to>
      <xdr:col>21</xdr:col>
      <xdr:colOff>157484</xdr:colOff>
      <xdr:row>24</xdr:row>
      <xdr:rowOff>53339</xdr:rowOff>
    </xdr:to>
    <xdr:cxnSp macro="">
      <xdr:nvCxnSpPr>
        <xdr:cNvPr id="168" name="Straight Connector 167">
          <a:extLst>
            <a:ext uri="{FF2B5EF4-FFF2-40B4-BE49-F238E27FC236}">
              <a16:creationId xmlns:a16="http://schemas.microsoft.com/office/drawing/2014/main" id="{DC860C8C-BF3C-4259-AD5E-EF0323BB5B14}"/>
            </a:ext>
          </a:extLst>
        </xdr:cNvPr>
        <xdr:cNvCxnSpPr/>
      </xdr:nvCxnSpPr>
      <xdr:spPr>
        <a:xfrm>
          <a:off x="11328404" y="4523739"/>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c:userShapes xmlns:c="http://schemas.openxmlformats.org/drawingml/2006/chart">
  <cdr:relSizeAnchor xmlns:cdr="http://schemas.openxmlformats.org/drawingml/2006/chartDrawing">
    <cdr:from>
      <cdr:x>0.28292</cdr:x>
      <cdr:y>0.45625</cdr:y>
    </cdr:from>
    <cdr:to>
      <cdr:x>0.7294</cdr:x>
      <cdr:y>0.55996</cdr:y>
    </cdr:to>
    <cdr:sp macro="" textlink="">
      <cdr:nvSpPr>
        <cdr:cNvPr id="2" name="TextBox 171">
          <a:extLst xmlns:a="http://schemas.openxmlformats.org/drawingml/2006/main">
            <a:ext uri="{FF2B5EF4-FFF2-40B4-BE49-F238E27FC236}">
              <a16:creationId xmlns:a16="http://schemas.microsoft.com/office/drawing/2014/main" id="{A8D5A320-C0D6-462F-832D-9DDEB7B08F0C}"/>
            </a:ext>
          </a:extLst>
        </cdr:cNvPr>
        <cdr:cNvSpPr txBox="1"/>
      </cdr:nvSpPr>
      <cdr:spPr>
        <a:xfrm xmlns:a="http://schemas.openxmlformats.org/drawingml/2006/main">
          <a:off x="747682" y="1050725"/>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800" b="1" baseline="0">
              <a:solidFill>
                <a:schemeClr val="bg2">
                  <a:lumMod val="25000"/>
                </a:schemeClr>
              </a:solidFill>
              <a:latin typeface="+mn-lt"/>
              <a:cs typeface="Aharoni" panose="02010803020104030203" pitchFamily="2" charset="-79"/>
            </a:rPr>
            <a:t>Paid Advertisement</a:t>
          </a:r>
        </a:p>
      </cdr:txBody>
    </cdr:sp>
  </cdr:relSizeAnchor>
  <cdr:relSizeAnchor xmlns:cdr="http://schemas.openxmlformats.org/drawingml/2006/chartDrawing">
    <cdr:from>
      <cdr:x>0.28023</cdr:x>
      <cdr:y>0.52593</cdr:y>
    </cdr:from>
    <cdr:to>
      <cdr:x>0.72671</cdr:x>
      <cdr:y>0.62963</cdr:y>
    </cdr:to>
    <cdr:sp macro="" textlink="Pivot_tables!$CY$6">
      <cdr:nvSpPr>
        <cdr:cNvPr id="3" name="TextBox 171">
          <a:extLst xmlns:a="http://schemas.openxmlformats.org/drawingml/2006/main">
            <a:ext uri="{FF2B5EF4-FFF2-40B4-BE49-F238E27FC236}">
              <a16:creationId xmlns:a16="http://schemas.microsoft.com/office/drawing/2014/main" id="{588FD80F-5739-4A8C-A1AA-15BF5BE8CCCB}"/>
            </a:ext>
          </a:extLst>
        </cdr:cNvPr>
        <cdr:cNvSpPr txBox="1"/>
      </cdr:nvSpPr>
      <cdr:spPr>
        <a:xfrm xmlns:a="http://schemas.openxmlformats.org/drawingml/2006/main">
          <a:off x="740575" y="1211176"/>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D4D6AFF0-82EC-4A0D-8C21-4D27AA0C1E28}" type="TxLink">
            <a:rPr lang="en-US" sz="1600" b="1" i="0" u="none" strike="noStrike" baseline="0">
              <a:solidFill>
                <a:srgbClr val="000000"/>
              </a:solidFill>
              <a:latin typeface="+mn-lt"/>
              <a:cs typeface="Arial"/>
            </a:rPr>
            <a:pPr algn="ctr"/>
            <a:t>984.0M</a:t>
          </a:fld>
          <a:endParaRPr lang="en-IN" sz="1200" b="1" baseline="0">
            <a:solidFill>
              <a:schemeClr val="bg2">
                <a:lumMod val="25000"/>
              </a:schemeClr>
            </a:solidFill>
            <a:latin typeface="+mn-lt"/>
            <a:cs typeface="Aharoni" panose="02010803020104030203" pitchFamily="2" charset="-79"/>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Gangadharan" refreshedDate="44597.868550578707" createdVersion="7" refreshedVersion="7" minRefreshableVersion="3" recordCount="1237" xr:uid="{22B4DDC7-C70F-4644-A323-602F45C97133}">
  <cacheSource type="worksheet">
    <worksheetSource name="Table1"/>
  </cacheSource>
  <cacheFields count="14">
    <cacheField name="Fees Status" numFmtId="0">
      <sharedItems count="2">
        <s v="Paid"/>
        <s v="Not Paid"/>
      </sharedItems>
    </cacheField>
    <cacheField name="Day" numFmtId="1">
      <sharedItems containsSemiMixedTypes="0" containsString="0" containsNumber="1" containsInteger="1" minValue="1" maxValue="31"/>
    </cacheField>
    <cacheField name="Month" numFmtId="14">
      <sharedItems count="12">
        <s v="Apr"/>
        <s v="Aug"/>
        <s v="Sep"/>
        <s v="Oct"/>
        <s v="Nov"/>
        <s v="Jan"/>
        <s v="Feb"/>
        <s v="Mar"/>
        <s v="May"/>
        <s v="Jun"/>
        <s v="Dec"/>
        <s v="Jul"/>
      </sharedItems>
    </cacheField>
    <cacheField name="Advertising Channel" numFmtId="0">
      <sharedItems count="6">
        <s v="Television Ad"/>
        <s v="Company Website"/>
        <s v="Facebook Page"/>
        <s v="WhatsApp"/>
        <s v="Google Ad"/>
        <s v="Youtube Channel"/>
      </sharedItems>
    </cacheField>
    <cacheField name="Advertisement " numFmtId="0">
      <sharedItems count="5">
        <s v="AD01-9364"/>
        <s v="AD01-9361"/>
        <s v="AD01-9362"/>
        <s v="AD01-9363"/>
        <s v="AD01-9365"/>
      </sharedItems>
    </cacheField>
    <cacheField name="Enrolled Courses" numFmtId="3">
      <sharedItems containsSemiMixedTypes="0" containsString="0" containsNumber="1" containsInteger="1" minValue="0" maxValue="5" count="6">
        <n v="1"/>
        <n v="3"/>
        <n v="2"/>
        <n v="4"/>
        <n v="5"/>
        <n v="0"/>
      </sharedItems>
    </cacheField>
    <cacheField name="Paid Fees" numFmtId="165">
      <sharedItems containsSemiMixedTypes="0" containsString="0" containsNumber="1" containsInteger="1" minValue="0" maxValue="38000000"/>
    </cacheField>
    <cacheField name="Number of phone calls" numFmtId="0">
      <sharedItems containsSemiMixedTypes="0" containsString="0" containsNumber="1" containsInteger="1" minValue="1" maxValue="7"/>
    </cacheField>
    <cacheField name="Average call duration" numFmtId="45">
      <sharedItems containsSemiMixedTypes="0" containsNonDate="0" containsDate="1" containsString="0" minDate="1899-12-30T00:02:00" maxDate="1899-12-30T00:12:55"/>
    </cacheField>
    <cacheField name="Training Models" numFmtId="0">
      <sharedItems containsBlank="1" count="5">
        <s v="GK"/>
        <s v="BE"/>
        <s v="CNI"/>
        <m/>
        <s v="FC"/>
      </sharedItems>
    </cacheField>
    <cacheField name="Training Levels" numFmtId="0">
      <sharedItems containsBlank="1" count="10">
        <s v="KJI. L4"/>
        <s v="Pre. L8"/>
        <s v="Fndn. L5"/>
        <s v="Fndn. L3"/>
        <s v="Fndn. L1"/>
        <s v="Pre. L2"/>
        <s v="Fndn. L6"/>
        <s v="Pre. L3"/>
        <s v="Pre. L4"/>
        <m/>
      </sharedItems>
    </cacheField>
    <cacheField name="Area Code" numFmtId="0">
      <sharedItems count="8">
        <s v="A7"/>
        <s v="B13"/>
        <s v="A1"/>
        <s v="A2"/>
        <s v="A4"/>
        <s v="B12"/>
        <s v="B18"/>
        <s v="C8"/>
      </sharedItems>
    </cacheField>
    <cacheField name="Sale Team" numFmtId="0">
      <sharedItems count="4">
        <s v="Haidy"/>
        <s v="Hossam"/>
        <s v="Rovan"/>
        <s v="Beyablo"/>
      </sharedItems>
    </cacheField>
    <cacheField name="Consultant" numFmtId="0">
      <sharedItems count="16">
        <s v="Jood"/>
        <s v="Kisho"/>
        <s v="Rony"/>
        <s v="Adam"/>
        <s v="Khalil"/>
        <s v="Sahar"/>
        <s v="Mohmed"/>
        <s v="Dary"/>
        <s v="Reham"/>
        <s v="Dina"/>
        <s v="John"/>
        <s v="Hisham"/>
        <s v="Ahmed"/>
        <s v="Hany"/>
        <s v="Kenza"/>
        <s v="Habib"/>
      </sharedItems>
    </cacheField>
  </cacheFields>
  <extLst>
    <ext xmlns:x14="http://schemas.microsoft.com/office/spreadsheetml/2009/9/main" uri="{725AE2AE-9491-48be-B2B4-4EB974FC3084}">
      <x14:pivotCacheDefinition pivotCacheId="11543551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7">
  <r>
    <x v="0"/>
    <n v="1"/>
    <x v="0"/>
    <x v="0"/>
    <x v="0"/>
    <x v="0"/>
    <n v="7000000"/>
    <n v="3"/>
    <d v="1899-12-30T00:02:00"/>
    <x v="0"/>
    <x v="0"/>
    <x v="0"/>
    <x v="0"/>
    <x v="0"/>
  </r>
  <r>
    <x v="0"/>
    <n v="10"/>
    <x v="1"/>
    <x v="0"/>
    <x v="1"/>
    <x v="1"/>
    <n v="11000000"/>
    <n v="1"/>
    <d v="1899-12-30T00:02:00"/>
    <x v="0"/>
    <x v="1"/>
    <x v="1"/>
    <x v="1"/>
    <x v="1"/>
  </r>
  <r>
    <x v="0"/>
    <n v="20"/>
    <x v="2"/>
    <x v="1"/>
    <x v="0"/>
    <x v="2"/>
    <n v="12000000"/>
    <n v="3"/>
    <d v="1899-12-30T00:02:00"/>
    <x v="0"/>
    <x v="2"/>
    <x v="2"/>
    <x v="1"/>
    <x v="2"/>
  </r>
  <r>
    <x v="0"/>
    <n v="23"/>
    <x v="2"/>
    <x v="2"/>
    <x v="0"/>
    <x v="3"/>
    <n v="15000000"/>
    <n v="1"/>
    <d v="1899-12-30T00:02:00"/>
    <x v="0"/>
    <x v="2"/>
    <x v="3"/>
    <x v="2"/>
    <x v="3"/>
  </r>
  <r>
    <x v="0"/>
    <n v="11"/>
    <x v="2"/>
    <x v="0"/>
    <x v="0"/>
    <x v="4"/>
    <n v="25000000"/>
    <n v="2"/>
    <d v="1899-12-30T00:02:00"/>
    <x v="0"/>
    <x v="3"/>
    <x v="1"/>
    <x v="3"/>
    <x v="4"/>
  </r>
  <r>
    <x v="0"/>
    <n v="2"/>
    <x v="3"/>
    <x v="3"/>
    <x v="1"/>
    <x v="1"/>
    <n v="12000000"/>
    <n v="1"/>
    <d v="1899-12-30T00:02:00"/>
    <x v="0"/>
    <x v="4"/>
    <x v="4"/>
    <x v="0"/>
    <x v="5"/>
  </r>
  <r>
    <x v="0"/>
    <n v="6"/>
    <x v="3"/>
    <x v="3"/>
    <x v="2"/>
    <x v="4"/>
    <n v="20000000"/>
    <n v="2"/>
    <d v="1899-12-30T00:02:00"/>
    <x v="0"/>
    <x v="0"/>
    <x v="5"/>
    <x v="3"/>
    <x v="4"/>
  </r>
  <r>
    <x v="0"/>
    <n v="26"/>
    <x v="4"/>
    <x v="2"/>
    <x v="3"/>
    <x v="0"/>
    <n v="19000000"/>
    <n v="2"/>
    <d v="1899-12-30T00:02:00"/>
    <x v="1"/>
    <x v="5"/>
    <x v="3"/>
    <x v="0"/>
    <x v="5"/>
  </r>
  <r>
    <x v="0"/>
    <n v="15"/>
    <x v="4"/>
    <x v="3"/>
    <x v="2"/>
    <x v="2"/>
    <n v="38000000"/>
    <n v="2"/>
    <d v="1899-12-30T00:02:00"/>
    <x v="1"/>
    <x v="4"/>
    <x v="6"/>
    <x v="1"/>
    <x v="1"/>
  </r>
  <r>
    <x v="0"/>
    <n v="17"/>
    <x v="4"/>
    <x v="4"/>
    <x v="1"/>
    <x v="2"/>
    <n v="12000000"/>
    <n v="2"/>
    <d v="1899-12-30T00:02:00"/>
    <x v="0"/>
    <x v="6"/>
    <x v="7"/>
    <x v="1"/>
    <x v="6"/>
  </r>
  <r>
    <x v="0"/>
    <n v="1"/>
    <x v="0"/>
    <x v="0"/>
    <x v="0"/>
    <x v="0"/>
    <n v="7000000"/>
    <n v="3"/>
    <d v="1899-12-30T00:02:00"/>
    <x v="0"/>
    <x v="0"/>
    <x v="0"/>
    <x v="0"/>
    <x v="0"/>
  </r>
  <r>
    <x v="0"/>
    <n v="2"/>
    <x v="3"/>
    <x v="3"/>
    <x v="1"/>
    <x v="1"/>
    <n v="12000000"/>
    <n v="1"/>
    <d v="1899-12-30T00:02:00"/>
    <x v="0"/>
    <x v="4"/>
    <x v="4"/>
    <x v="0"/>
    <x v="1"/>
  </r>
  <r>
    <x v="0"/>
    <n v="6"/>
    <x v="3"/>
    <x v="3"/>
    <x v="2"/>
    <x v="4"/>
    <n v="20000000"/>
    <n v="2"/>
    <d v="1899-12-30T00:02:00"/>
    <x v="0"/>
    <x v="0"/>
    <x v="5"/>
    <x v="3"/>
    <x v="7"/>
  </r>
  <r>
    <x v="0"/>
    <n v="26"/>
    <x v="4"/>
    <x v="2"/>
    <x v="3"/>
    <x v="0"/>
    <n v="19000000"/>
    <n v="2"/>
    <d v="1899-12-30T00:02:00"/>
    <x v="1"/>
    <x v="5"/>
    <x v="3"/>
    <x v="0"/>
    <x v="8"/>
  </r>
  <r>
    <x v="0"/>
    <n v="2"/>
    <x v="3"/>
    <x v="3"/>
    <x v="1"/>
    <x v="1"/>
    <n v="12000000"/>
    <n v="1"/>
    <d v="1899-12-30T00:02:00"/>
    <x v="0"/>
    <x v="4"/>
    <x v="4"/>
    <x v="0"/>
    <x v="2"/>
  </r>
  <r>
    <x v="0"/>
    <n v="6"/>
    <x v="3"/>
    <x v="3"/>
    <x v="2"/>
    <x v="4"/>
    <n v="20000000"/>
    <n v="2"/>
    <d v="1899-12-30T00:02:00"/>
    <x v="0"/>
    <x v="0"/>
    <x v="5"/>
    <x v="3"/>
    <x v="7"/>
  </r>
  <r>
    <x v="0"/>
    <n v="26"/>
    <x v="4"/>
    <x v="2"/>
    <x v="3"/>
    <x v="0"/>
    <n v="19000000"/>
    <n v="2"/>
    <d v="1899-12-30T00:02:00"/>
    <x v="1"/>
    <x v="5"/>
    <x v="3"/>
    <x v="0"/>
    <x v="8"/>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0"/>
    <n v="25"/>
    <x v="2"/>
    <x v="0"/>
    <x v="0"/>
    <x v="1"/>
    <n v="15000000"/>
    <n v="3"/>
    <d v="1899-12-30T00:02:00"/>
    <x v="0"/>
    <x v="7"/>
    <x v="2"/>
    <x v="1"/>
    <x v="6"/>
  </r>
  <r>
    <x v="0"/>
    <n v="11"/>
    <x v="2"/>
    <x v="0"/>
    <x v="2"/>
    <x v="1"/>
    <n v="12000000"/>
    <n v="4"/>
    <d v="1899-12-30T00:02:00"/>
    <x v="0"/>
    <x v="1"/>
    <x v="0"/>
    <x v="3"/>
    <x v="4"/>
  </r>
  <r>
    <x v="0"/>
    <n v="18"/>
    <x v="2"/>
    <x v="0"/>
    <x v="1"/>
    <x v="3"/>
    <n v="15000000"/>
    <n v="2"/>
    <d v="1899-12-30T00:02:00"/>
    <x v="0"/>
    <x v="4"/>
    <x v="6"/>
    <x v="0"/>
    <x v="9"/>
  </r>
  <r>
    <x v="0"/>
    <n v="1"/>
    <x v="3"/>
    <x v="2"/>
    <x v="2"/>
    <x v="1"/>
    <n v="15000000"/>
    <n v="3"/>
    <d v="1899-12-30T00:02:00"/>
    <x v="0"/>
    <x v="4"/>
    <x v="2"/>
    <x v="1"/>
    <x v="6"/>
  </r>
  <r>
    <x v="0"/>
    <n v="1"/>
    <x v="3"/>
    <x v="0"/>
    <x v="2"/>
    <x v="2"/>
    <n v="12000000"/>
    <n v="6"/>
    <d v="1899-12-30T00:02:00"/>
    <x v="0"/>
    <x v="4"/>
    <x v="2"/>
    <x v="0"/>
    <x v="5"/>
  </r>
  <r>
    <x v="0"/>
    <n v="8"/>
    <x v="3"/>
    <x v="0"/>
    <x v="2"/>
    <x v="1"/>
    <n v="15000000"/>
    <n v="3"/>
    <d v="1899-12-30T00:02:00"/>
    <x v="0"/>
    <x v="3"/>
    <x v="0"/>
    <x v="0"/>
    <x v="9"/>
  </r>
  <r>
    <x v="0"/>
    <n v="20"/>
    <x v="3"/>
    <x v="1"/>
    <x v="1"/>
    <x v="4"/>
    <n v="25000000"/>
    <n v="4"/>
    <d v="1899-12-30T00:02:00"/>
    <x v="0"/>
    <x v="3"/>
    <x v="2"/>
    <x v="0"/>
    <x v="10"/>
  </r>
  <r>
    <x v="0"/>
    <n v="20"/>
    <x v="3"/>
    <x v="4"/>
    <x v="0"/>
    <x v="2"/>
    <n v="12000000"/>
    <n v="4"/>
    <d v="1899-12-30T00:02:00"/>
    <x v="0"/>
    <x v="8"/>
    <x v="3"/>
    <x v="2"/>
    <x v="11"/>
  </r>
  <r>
    <x v="0"/>
    <n v="1"/>
    <x v="3"/>
    <x v="1"/>
    <x v="1"/>
    <x v="1"/>
    <n v="15000000"/>
    <n v="5"/>
    <d v="1899-12-30T00:02:00"/>
    <x v="0"/>
    <x v="2"/>
    <x v="4"/>
    <x v="2"/>
    <x v="8"/>
  </r>
  <r>
    <x v="0"/>
    <n v="20"/>
    <x v="3"/>
    <x v="1"/>
    <x v="2"/>
    <x v="2"/>
    <n v="10000000"/>
    <n v="1"/>
    <d v="1899-12-30T00:02:00"/>
    <x v="0"/>
    <x v="8"/>
    <x v="5"/>
    <x v="0"/>
    <x v="12"/>
  </r>
  <r>
    <x v="0"/>
    <n v="1"/>
    <x v="3"/>
    <x v="1"/>
    <x v="0"/>
    <x v="1"/>
    <n v="12000000"/>
    <n v="2"/>
    <d v="1899-12-30T00:02:00"/>
    <x v="0"/>
    <x v="3"/>
    <x v="1"/>
    <x v="0"/>
    <x v="7"/>
  </r>
  <r>
    <x v="0"/>
    <n v="4"/>
    <x v="3"/>
    <x v="0"/>
    <x v="1"/>
    <x v="1"/>
    <n v="11000000"/>
    <n v="6"/>
    <d v="1899-12-30T00:02:00"/>
    <x v="0"/>
    <x v="4"/>
    <x v="6"/>
    <x v="1"/>
    <x v="2"/>
  </r>
  <r>
    <x v="0"/>
    <n v="3"/>
    <x v="4"/>
    <x v="2"/>
    <x v="0"/>
    <x v="0"/>
    <n v="19000000"/>
    <n v="3"/>
    <d v="1899-12-30T00:02:00"/>
    <x v="1"/>
    <x v="8"/>
    <x v="6"/>
    <x v="0"/>
    <x v="7"/>
  </r>
  <r>
    <x v="0"/>
    <n v="22"/>
    <x v="4"/>
    <x v="2"/>
    <x v="0"/>
    <x v="0"/>
    <n v="19000000"/>
    <n v="1"/>
    <d v="1899-12-30T00:02:00"/>
    <x v="1"/>
    <x v="1"/>
    <x v="7"/>
    <x v="3"/>
    <x v="13"/>
  </r>
  <r>
    <x v="0"/>
    <n v="13"/>
    <x v="4"/>
    <x v="4"/>
    <x v="4"/>
    <x v="3"/>
    <n v="20000000"/>
    <n v="3"/>
    <d v="1899-12-30T00:02:00"/>
    <x v="2"/>
    <x v="0"/>
    <x v="2"/>
    <x v="2"/>
    <x v="8"/>
  </r>
  <r>
    <x v="0"/>
    <n v="17"/>
    <x v="4"/>
    <x v="4"/>
    <x v="2"/>
    <x v="0"/>
    <n v="7000000"/>
    <n v="1"/>
    <d v="1899-12-30T00:02:00"/>
    <x v="0"/>
    <x v="0"/>
    <x v="3"/>
    <x v="0"/>
    <x v="7"/>
  </r>
  <r>
    <x v="0"/>
    <n v="30"/>
    <x v="4"/>
    <x v="4"/>
    <x v="1"/>
    <x v="2"/>
    <n v="10000000"/>
    <n v="1"/>
    <d v="1899-12-30T00:02:00"/>
    <x v="0"/>
    <x v="2"/>
    <x v="3"/>
    <x v="2"/>
    <x v="11"/>
  </r>
  <r>
    <x v="0"/>
    <n v="29"/>
    <x v="4"/>
    <x v="2"/>
    <x v="2"/>
    <x v="1"/>
    <n v="15000000"/>
    <n v="1"/>
    <d v="1899-12-30T00:02:00"/>
    <x v="0"/>
    <x v="0"/>
    <x v="1"/>
    <x v="1"/>
    <x v="1"/>
  </r>
  <r>
    <x v="0"/>
    <n v="6"/>
    <x v="4"/>
    <x v="4"/>
    <x v="4"/>
    <x v="0"/>
    <n v="7000000"/>
    <n v="3"/>
    <d v="1899-12-30T00:02:00"/>
    <x v="0"/>
    <x v="8"/>
    <x v="7"/>
    <x v="3"/>
    <x v="13"/>
  </r>
  <r>
    <x v="0"/>
    <n v="22"/>
    <x v="10"/>
    <x v="1"/>
    <x v="0"/>
    <x v="4"/>
    <n v="25000000"/>
    <n v="6"/>
    <d v="1899-12-30T00:02:00"/>
    <x v="0"/>
    <x v="7"/>
    <x v="5"/>
    <x v="3"/>
    <x v="4"/>
  </r>
  <r>
    <x v="0"/>
    <n v="3"/>
    <x v="10"/>
    <x v="2"/>
    <x v="1"/>
    <x v="4"/>
    <n v="20000000"/>
    <n v="4"/>
    <d v="1899-12-30T00:02:00"/>
    <x v="0"/>
    <x v="4"/>
    <x v="7"/>
    <x v="1"/>
    <x v="6"/>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1"/>
    <n v="7"/>
    <x v="3"/>
    <x v="4"/>
    <x v="1"/>
    <x v="5"/>
    <n v="0"/>
    <n v="6"/>
    <d v="1899-12-30T00:02:00"/>
    <x v="3"/>
    <x v="9"/>
    <x v="5"/>
    <x v="3"/>
    <x v="13"/>
  </r>
  <r>
    <x v="1"/>
    <n v="5"/>
    <x v="3"/>
    <x v="2"/>
    <x v="2"/>
    <x v="5"/>
    <n v="0"/>
    <n v="4"/>
    <d v="1899-12-30T00:02:00"/>
    <x v="3"/>
    <x v="9"/>
    <x v="7"/>
    <x v="1"/>
    <x v="1"/>
  </r>
  <r>
    <x v="1"/>
    <n v="23"/>
    <x v="4"/>
    <x v="0"/>
    <x v="1"/>
    <x v="5"/>
    <n v="0"/>
    <n v="3"/>
    <d v="1899-12-30T00:02:00"/>
    <x v="3"/>
    <x v="9"/>
    <x v="0"/>
    <x v="3"/>
    <x v="4"/>
  </r>
  <r>
    <x v="1"/>
    <n v="19"/>
    <x v="4"/>
    <x v="2"/>
    <x v="1"/>
    <x v="5"/>
    <n v="0"/>
    <n v="1"/>
    <d v="1899-12-30T00:02:00"/>
    <x v="3"/>
    <x v="9"/>
    <x v="6"/>
    <x v="0"/>
    <x v="10"/>
  </r>
  <r>
    <x v="1"/>
    <n v="10"/>
    <x v="10"/>
    <x v="4"/>
    <x v="0"/>
    <x v="5"/>
    <n v="0"/>
    <n v="1"/>
    <d v="1899-12-30T00:02:00"/>
    <x v="3"/>
    <x v="9"/>
    <x v="6"/>
    <x v="0"/>
    <x v="5"/>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0"/>
    <n v="23"/>
    <x v="2"/>
    <x v="0"/>
    <x v="2"/>
    <x v="4"/>
    <n v="20000000"/>
    <n v="1"/>
    <d v="1899-12-30T00:02:00"/>
    <x v="0"/>
    <x v="5"/>
    <x v="2"/>
    <x v="2"/>
    <x v="11"/>
  </r>
  <r>
    <x v="0"/>
    <n v="8"/>
    <x v="2"/>
    <x v="2"/>
    <x v="0"/>
    <x v="4"/>
    <n v="21000000"/>
    <n v="4"/>
    <d v="1899-12-30T00:02:00"/>
    <x v="0"/>
    <x v="0"/>
    <x v="5"/>
    <x v="0"/>
    <x v="12"/>
  </r>
  <r>
    <x v="0"/>
    <n v="22"/>
    <x v="2"/>
    <x v="0"/>
    <x v="2"/>
    <x v="3"/>
    <n v="15000000"/>
    <n v="3"/>
    <d v="1899-12-30T00:02:00"/>
    <x v="0"/>
    <x v="4"/>
    <x v="5"/>
    <x v="1"/>
    <x v="2"/>
  </r>
  <r>
    <x v="0"/>
    <n v="30"/>
    <x v="2"/>
    <x v="0"/>
    <x v="3"/>
    <x v="2"/>
    <n v="12000000"/>
    <n v="3"/>
    <d v="1899-12-30T00:02:00"/>
    <x v="0"/>
    <x v="5"/>
    <x v="6"/>
    <x v="0"/>
    <x v="10"/>
  </r>
  <r>
    <x v="0"/>
    <n v="8"/>
    <x v="3"/>
    <x v="0"/>
    <x v="1"/>
    <x v="3"/>
    <n v="20000000"/>
    <n v="3"/>
    <d v="1899-12-30T00:02:00"/>
    <x v="0"/>
    <x v="8"/>
    <x v="5"/>
    <x v="2"/>
    <x v="8"/>
  </r>
  <r>
    <x v="0"/>
    <n v="30"/>
    <x v="3"/>
    <x v="3"/>
    <x v="2"/>
    <x v="1"/>
    <n v="15000000"/>
    <n v="1"/>
    <d v="1899-12-30T00:02:00"/>
    <x v="0"/>
    <x v="0"/>
    <x v="1"/>
    <x v="1"/>
    <x v="1"/>
  </r>
  <r>
    <x v="0"/>
    <n v="9"/>
    <x v="3"/>
    <x v="1"/>
    <x v="2"/>
    <x v="1"/>
    <n v="15000000"/>
    <n v="3"/>
    <d v="1899-12-30T00:02:00"/>
    <x v="0"/>
    <x v="4"/>
    <x v="7"/>
    <x v="1"/>
    <x v="14"/>
  </r>
  <r>
    <x v="0"/>
    <n v="11"/>
    <x v="3"/>
    <x v="3"/>
    <x v="2"/>
    <x v="1"/>
    <n v="15000000"/>
    <n v="2"/>
    <d v="1899-12-30T00:02:00"/>
    <x v="0"/>
    <x v="7"/>
    <x v="7"/>
    <x v="1"/>
    <x v="6"/>
  </r>
  <r>
    <x v="0"/>
    <n v="26"/>
    <x v="3"/>
    <x v="0"/>
    <x v="1"/>
    <x v="0"/>
    <n v="7000000"/>
    <n v="2"/>
    <d v="1899-12-30T00:02:00"/>
    <x v="0"/>
    <x v="8"/>
    <x v="7"/>
    <x v="0"/>
    <x v="9"/>
  </r>
  <r>
    <x v="0"/>
    <n v="22"/>
    <x v="4"/>
    <x v="2"/>
    <x v="1"/>
    <x v="2"/>
    <n v="38000000"/>
    <n v="4"/>
    <d v="1899-12-30T00:02:00"/>
    <x v="1"/>
    <x v="7"/>
    <x v="3"/>
    <x v="3"/>
    <x v="13"/>
  </r>
  <r>
    <x v="0"/>
    <n v="3"/>
    <x v="4"/>
    <x v="4"/>
    <x v="1"/>
    <x v="0"/>
    <n v="19000000"/>
    <n v="1"/>
    <d v="1899-12-30T00:02:00"/>
    <x v="1"/>
    <x v="4"/>
    <x v="0"/>
    <x v="1"/>
    <x v="2"/>
  </r>
  <r>
    <x v="0"/>
    <n v="8"/>
    <x v="4"/>
    <x v="4"/>
    <x v="0"/>
    <x v="2"/>
    <n v="38000000"/>
    <n v="1"/>
    <d v="1899-12-30T00:02:00"/>
    <x v="1"/>
    <x v="6"/>
    <x v="1"/>
    <x v="0"/>
    <x v="0"/>
  </r>
  <r>
    <x v="0"/>
    <n v="19"/>
    <x v="4"/>
    <x v="1"/>
    <x v="1"/>
    <x v="2"/>
    <n v="12000000"/>
    <n v="1"/>
    <d v="1899-12-30T00:02:00"/>
    <x v="0"/>
    <x v="0"/>
    <x v="0"/>
    <x v="3"/>
    <x v="13"/>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1"/>
    <n v="3"/>
    <x v="9"/>
    <x v="1"/>
    <x v="1"/>
    <x v="5"/>
    <n v="0"/>
    <n v="2"/>
    <d v="1899-12-30T00:02:00"/>
    <x v="3"/>
    <x v="9"/>
    <x v="6"/>
    <x v="1"/>
    <x v="1"/>
  </r>
  <r>
    <x v="1"/>
    <n v="13"/>
    <x v="1"/>
    <x v="1"/>
    <x v="0"/>
    <x v="5"/>
    <n v="0"/>
    <n v="1"/>
    <d v="1899-12-30T00:02:00"/>
    <x v="3"/>
    <x v="9"/>
    <x v="3"/>
    <x v="0"/>
    <x v="0"/>
  </r>
  <r>
    <x v="1"/>
    <n v="29"/>
    <x v="3"/>
    <x v="1"/>
    <x v="0"/>
    <x v="5"/>
    <n v="0"/>
    <n v="4"/>
    <d v="1899-12-30T00:02:00"/>
    <x v="3"/>
    <x v="9"/>
    <x v="3"/>
    <x v="2"/>
    <x v="11"/>
  </r>
  <r>
    <x v="1"/>
    <n v="5"/>
    <x v="3"/>
    <x v="1"/>
    <x v="1"/>
    <x v="5"/>
    <n v="0"/>
    <n v="5"/>
    <d v="1899-12-30T00:02:00"/>
    <x v="3"/>
    <x v="9"/>
    <x v="1"/>
    <x v="1"/>
    <x v="6"/>
  </r>
  <r>
    <x v="1"/>
    <n v="19"/>
    <x v="4"/>
    <x v="4"/>
    <x v="2"/>
    <x v="5"/>
    <n v="0"/>
    <n v="2"/>
    <d v="1899-12-30T00:02:00"/>
    <x v="3"/>
    <x v="9"/>
    <x v="7"/>
    <x v="3"/>
    <x v="13"/>
  </r>
  <r>
    <x v="1"/>
    <n v="18"/>
    <x v="10"/>
    <x v="0"/>
    <x v="2"/>
    <x v="5"/>
    <n v="0"/>
    <n v="1"/>
    <d v="1899-12-30T00:02:00"/>
    <x v="3"/>
    <x v="9"/>
    <x v="2"/>
    <x v="3"/>
    <x v="4"/>
  </r>
  <r>
    <x v="1"/>
    <n v="29"/>
    <x v="10"/>
    <x v="4"/>
    <x v="0"/>
    <x v="5"/>
    <n v="0"/>
    <n v="1"/>
    <d v="1899-12-30T00:02:00"/>
    <x v="3"/>
    <x v="9"/>
    <x v="2"/>
    <x v="0"/>
    <x v="9"/>
  </r>
  <r>
    <x v="1"/>
    <n v="1"/>
    <x v="10"/>
    <x v="4"/>
    <x v="1"/>
    <x v="5"/>
    <n v="0"/>
    <n v="2"/>
    <d v="1899-12-30T00:02:00"/>
    <x v="3"/>
    <x v="9"/>
    <x v="5"/>
    <x v="0"/>
    <x v="0"/>
  </r>
  <r>
    <x v="1"/>
    <n v="30"/>
    <x v="10"/>
    <x v="1"/>
    <x v="1"/>
    <x v="5"/>
    <n v="0"/>
    <n v="1"/>
    <d v="1899-12-30T00:02:00"/>
    <x v="3"/>
    <x v="9"/>
    <x v="6"/>
    <x v="2"/>
    <x v="8"/>
  </r>
  <r>
    <x v="1"/>
    <n v="3"/>
    <x v="9"/>
    <x v="1"/>
    <x v="1"/>
    <x v="5"/>
    <n v="0"/>
    <n v="2"/>
    <d v="1899-12-30T00:02:00"/>
    <x v="3"/>
    <x v="9"/>
    <x v="6"/>
    <x v="1"/>
    <x v="1"/>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0"/>
    <n v="30"/>
    <x v="2"/>
    <x v="0"/>
    <x v="2"/>
    <x v="2"/>
    <n v="12000000"/>
    <n v="1"/>
    <d v="1899-12-30T00:02:00"/>
    <x v="0"/>
    <x v="0"/>
    <x v="2"/>
    <x v="3"/>
    <x v="13"/>
  </r>
  <r>
    <x v="0"/>
    <n v="13"/>
    <x v="2"/>
    <x v="3"/>
    <x v="2"/>
    <x v="1"/>
    <n v="12000000"/>
    <n v="1"/>
    <d v="1899-12-30T00:02:00"/>
    <x v="0"/>
    <x v="5"/>
    <x v="6"/>
    <x v="0"/>
    <x v="9"/>
  </r>
  <r>
    <x v="0"/>
    <n v="1"/>
    <x v="2"/>
    <x v="0"/>
    <x v="2"/>
    <x v="0"/>
    <n v="7000000"/>
    <n v="4"/>
    <d v="1899-12-30T00:02:00"/>
    <x v="0"/>
    <x v="3"/>
    <x v="7"/>
    <x v="0"/>
    <x v="9"/>
  </r>
  <r>
    <x v="0"/>
    <n v="21"/>
    <x v="3"/>
    <x v="2"/>
    <x v="2"/>
    <x v="0"/>
    <n v="19000000"/>
    <n v="1"/>
    <d v="1899-12-30T00:02:00"/>
    <x v="1"/>
    <x v="4"/>
    <x v="2"/>
    <x v="0"/>
    <x v="10"/>
  </r>
  <r>
    <x v="0"/>
    <n v="3"/>
    <x v="3"/>
    <x v="2"/>
    <x v="2"/>
    <x v="2"/>
    <n v="38000000"/>
    <n v="2"/>
    <d v="1899-12-30T00:02:00"/>
    <x v="1"/>
    <x v="0"/>
    <x v="7"/>
    <x v="1"/>
    <x v="2"/>
  </r>
  <r>
    <x v="0"/>
    <n v="8"/>
    <x v="3"/>
    <x v="4"/>
    <x v="2"/>
    <x v="3"/>
    <n v="20000000"/>
    <n v="2"/>
    <d v="1899-12-30T00:02:00"/>
    <x v="2"/>
    <x v="4"/>
    <x v="2"/>
    <x v="1"/>
    <x v="1"/>
  </r>
  <r>
    <x v="0"/>
    <n v="14"/>
    <x v="3"/>
    <x v="0"/>
    <x v="1"/>
    <x v="0"/>
    <n v="7000000"/>
    <n v="5"/>
    <d v="1899-12-30T00:02:00"/>
    <x v="0"/>
    <x v="3"/>
    <x v="5"/>
    <x v="3"/>
    <x v="13"/>
  </r>
  <r>
    <x v="0"/>
    <n v="31"/>
    <x v="3"/>
    <x v="1"/>
    <x v="1"/>
    <x v="1"/>
    <n v="15000000"/>
    <n v="3"/>
    <d v="1899-12-30T00:02:00"/>
    <x v="0"/>
    <x v="2"/>
    <x v="1"/>
    <x v="2"/>
    <x v="11"/>
  </r>
  <r>
    <x v="0"/>
    <n v="20"/>
    <x v="3"/>
    <x v="2"/>
    <x v="3"/>
    <x v="1"/>
    <n v="15000000"/>
    <n v="1"/>
    <d v="1899-12-30T00:02:00"/>
    <x v="0"/>
    <x v="8"/>
    <x v="6"/>
    <x v="2"/>
    <x v="8"/>
  </r>
  <r>
    <x v="0"/>
    <n v="25"/>
    <x v="4"/>
    <x v="0"/>
    <x v="1"/>
    <x v="2"/>
    <n v="38000000"/>
    <n v="1"/>
    <d v="1899-12-30T00:02:00"/>
    <x v="1"/>
    <x v="5"/>
    <x v="2"/>
    <x v="0"/>
    <x v="7"/>
  </r>
  <r>
    <x v="0"/>
    <n v="5"/>
    <x v="4"/>
    <x v="2"/>
    <x v="3"/>
    <x v="1"/>
    <n v="12000000"/>
    <n v="2"/>
    <d v="1899-12-30T00:02:00"/>
    <x v="0"/>
    <x v="1"/>
    <x v="5"/>
    <x v="1"/>
    <x v="6"/>
  </r>
  <r>
    <x v="0"/>
    <n v="16"/>
    <x v="4"/>
    <x v="1"/>
    <x v="2"/>
    <x v="2"/>
    <n v="12000000"/>
    <n v="3"/>
    <d v="1899-12-30T00:02:00"/>
    <x v="0"/>
    <x v="0"/>
    <x v="7"/>
    <x v="1"/>
    <x v="1"/>
  </r>
  <r>
    <x v="0"/>
    <n v="26"/>
    <x v="10"/>
    <x v="3"/>
    <x v="1"/>
    <x v="4"/>
    <n v="25000000"/>
    <n v="5"/>
    <d v="1899-12-30T00:02:00"/>
    <x v="0"/>
    <x v="8"/>
    <x v="4"/>
    <x v="2"/>
    <x v="8"/>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1"/>
    <n v="13"/>
    <x v="9"/>
    <x v="0"/>
    <x v="4"/>
    <x v="5"/>
    <n v="0"/>
    <n v="3"/>
    <d v="1899-12-30T00:02:00"/>
    <x v="3"/>
    <x v="9"/>
    <x v="1"/>
    <x v="1"/>
    <x v="1"/>
  </r>
  <r>
    <x v="1"/>
    <n v="15"/>
    <x v="2"/>
    <x v="3"/>
    <x v="1"/>
    <x v="5"/>
    <n v="0"/>
    <n v="4"/>
    <d v="1899-12-30T00:02:00"/>
    <x v="3"/>
    <x v="9"/>
    <x v="0"/>
    <x v="0"/>
    <x v="12"/>
  </r>
  <r>
    <x v="1"/>
    <n v="28"/>
    <x v="3"/>
    <x v="2"/>
    <x v="1"/>
    <x v="5"/>
    <n v="0"/>
    <n v="3"/>
    <d v="1899-12-30T00:02:00"/>
    <x v="3"/>
    <x v="9"/>
    <x v="3"/>
    <x v="1"/>
    <x v="2"/>
  </r>
  <r>
    <x v="1"/>
    <n v="20"/>
    <x v="3"/>
    <x v="0"/>
    <x v="2"/>
    <x v="5"/>
    <n v="0"/>
    <n v="2"/>
    <d v="1899-12-30T00:02:00"/>
    <x v="3"/>
    <x v="9"/>
    <x v="0"/>
    <x v="0"/>
    <x v="9"/>
  </r>
  <r>
    <x v="1"/>
    <n v="14"/>
    <x v="3"/>
    <x v="0"/>
    <x v="2"/>
    <x v="5"/>
    <n v="0"/>
    <n v="1"/>
    <d v="1899-12-30T00:02:00"/>
    <x v="3"/>
    <x v="9"/>
    <x v="6"/>
    <x v="3"/>
    <x v="13"/>
  </r>
  <r>
    <x v="1"/>
    <n v="13"/>
    <x v="4"/>
    <x v="0"/>
    <x v="1"/>
    <x v="5"/>
    <n v="0"/>
    <n v="1"/>
    <d v="1899-12-30T00:02:00"/>
    <x v="3"/>
    <x v="9"/>
    <x v="3"/>
    <x v="0"/>
    <x v="5"/>
  </r>
  <r>
    <x v="1"/>
    <n v="15"/>
    <x v="4"/>
    <x v="4"/>
    <x v="1"/>
    <x v="5"/>
    <n v="0"/>
    <n v="4"/>
    <d v="1899-12-30T00:02:00"/>
    <x v="3"/>
    <x v="9"/>
    <x v="3"/>
    <x v="2"/>
    <x v="8"/>
  </r>
  <r>
    <x v="1"/>
    <n v="26"/>
    <x v="4"/>
    <x v="0"/>
    <x v="2"/>
    <x v="5"/>
    <n v="0"/>
    <n v="2"/>
    <d v="1899-12-30T00:02:00"/>
    <x v="3"/>
    <x v="9"/>
    <x v="7"/>
    <x v="1"/>
    <x v="2"/>
  </r>
  <r>
    <x v="1"/>
    <n v="13"/>
    <x v="9"/>
    <x v="0"/>
    <x v="4"/>
    <x v="5"/>
    <n v="0"/>
    <n v="3"/>
    <d v="1899-12-30T00:02:00"/>
    <x v="3"/>
    <x v="9"/>
    <x v="1"/>
    <x v="1"/>
    <x v="1"/>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0"/>
    <n v="9"/>
    <x v="1"/>
    <x v="0"/>
    <x v="2"/>
    <x v="2"/>
    <n v="12000000"/>
    <n v="1"/>
    <d v="1899-12-30T00:02:00"/>
    <x v="0"/>
    <x v="5"/>
    <x v="4"/>
    <x v="0"/>
    <x v="10"/>
  </r>
  <r>
    <x v="0"/>
    <n v="10"/>
    <x v="1"/>
    <x v="2"/>
    <x v="2"/>
    <x v="1"/>
    <n v="15000000"/>
    <n v="1"/>
    <d v="1899-12-30T00:02:00"/>
    <x v="0"/>
    <x v="7"/>
    <x v="4"/>
    <x v="1"/>
    <x v="6"/>
  </r>
  <r>
    <x v="0"/>
    <n v="14"/>
    <x v="1"/>
    <x v="4"/>
    <x v="1"/>
    <x v="3"/>
    <n v="20000000"/>
    <n v="3"/>
    <d v="1899-12-30T00:02:00"/>
    <x v="0"/>
    <x v="2"/>
    <x v="0"/>
    <x v="0"/>
    <x v="10"/>
  </r>
  <r>
    <x v="0"/>
    <n v="10"/>
    <x v="2"/>
    <x v="1"/>
    <x v="3"/>
    <x v="3"/>
    <n v="11000000"/>
    <n v="1"/>
    <d v="1899-12-30T00:02:00"/>
    <x v="2"/>
    <x v="0"/>
    <x v="5"/>
    <x v="2"/>
    <x v="3"/>
  </r>
  <r>
    <x v="0"/>
    <n v="27"/>
    <x v="2"/>
    <x v="2"/>
    <x v="0"/>
    <x v="1"/>
    <n v="12000000"/>
    <n v="3"/>
    <d v="1899-12-30T00:02:00"/>
    <x v="0"/>
    <x v="2"/>
    <x v="2"/>
    <x v="0"/>
    <x v="9"/>
  </r>
  <r>
    <x v="0"/>
    <n v="28"/>
    <x v="2"/>
    <x v="0"/>
    <x v="2"/>
    <x v="1"/>
    <n v="15000000"/>
    <n v="1"/>
    <d v="1899-12-30T00:02:00"/>
    <x v="0"/>
    <x v="2"/>
    <x v="6"/>
    <x v="1"/>
    <x v="2"/>
  </r>
  <r>
    <x v="0"/>
    <n v="28"/>
    <x v="2"/>
    <x v="0"/>
    <x v="2"/>
    <x v="4"/>
    <n v="25000000"/>
    <n v="2"/>
    <d v="1899-12-30T00:02:00"/>
    <x v="0"/>
    <x v="3"/>
    <x v="2"/>
    <x v="1"/>
    <x v="1"/>
  </r>
  <r>
    <x v="0"/>
    <n v="29"/>
    <x v="2"/>
    <x v="2"/>
    <x v="1"/>
    <x v="0"/>
    <n v="7000000"/>
    <n v="3"/>
    <d v="1899-12-30T00:02:00"/>
    <x v="0"/>
    <x v="4"/>
    <x v="3"/>
    <x v="3"/>
    <x v="13"/>
  </r>
  <r>
    <x v="0"/>
    <n v="30"/>
    <x v="2"/>
    <x v="5"/>
    <x v="1"/>
    <x v="2"/>
    <n v="12000000"/>
    <n v="4"/>
    <d v="1899-12-30T00:02:00"/>
    <x v="0"/>
    <x v="2"/>
    <x v="2"/>
    <x v="0"/>
    <x v="7"/>
  </r>
  <r>
    <x v="0"/>
    <n v="11"/>
    <x v="2"/>
    <x v="3"/>
    <x v="2"/>
    <x v="1"/>
    <n v="15000000"/>
    <n v="1"/>
    <d v="1899-12-30T00:02:00"/>
    <x v="0"/>
    <x v="0"/>
    <x v="3"/>
    <x v="3"/>
    <x v="13"/>
  </r>
  <r>
    <x v="0"/>
    <n v="15"/>
    <x v="2"/>
    <x v="1"/>
    <x v="1"/>
    <x v="3"/>
    <n v="15000000"/>
    <n v="3"/>
    <d v="1899-12-30T00:02:00"/>
    <x v="0"/>
    <x v="2"/>
    <x v="5"/>
    <x v="0"/>
    <x v="9"/>
  </r>
  <r>
    <x v="0"/>
    <n v="20"/>
    <x v="3"/>
    <x v="2"/>
    <x v="1"/>
    <x v="2"/>
    <n v="38000000"/>
    <n v="1"/>
    <d v="1899-12-30T00:02:00"/>
    <x v="4"/>
    <x v="0"/>
    <x v="5"/>
    <x v="3"/>
    <x v="13"/>
  </r>
  <r>
    <x v="0"/>
    <n v="8"/>
    <x v="3"/>
    <x v="3"/>
    <x v="3"/>
    <x v="2"/>
    <n v="38000000"/>
    <n v="4"/>
    <d v="1899-12-30T00:02:00"/>
    <x v="1"/>
    <x v="0"/>
    <x v="3"/>
    <x v="3"/>
    <x v="13"/>
  </r>
  <r>
    <x v="0"/>
    <n v="27"/>
    <x v="3"/>
    <x v="0"/>
    <x v="4"/>
    <x v="2"/>
    <n v="38000000"/>
    <n v="1"/>
    <d v="1899-12-30T00:02:00"/>
    <x v="1"/>
    <x v="3"/>
    <x v="6"/>
    <x v="3"/>
    <x v="13"/>
  </r>
  <r>
    <x v="0"/>
    <n v="5"/>
    <x v="3"/>
    <x v="4"/>
    <x v="1"/>
    <x v="3"/>
    <n v="15000000"/>
    <n v="1"/>
    <d v="1899-12-30T00:02:00"/>
    <x v="0"/>
    <x v="0"/>
    <x v="3"/>
    <x v="3"/>
    <x v="4"/>
  </r>
  <r>
    <x v="0"/>
    <n v="27"/>
    <x v="3"/>
    <x v="1"/>
    <x v="1"/>
    <x v="3"/>
    <n v="15000000"/>
    <n v="1"/>
    <d v="1899-12-30T00:02:00"/>
    <x v="0"/>
    <x v="0"/>
    <x v="0"/>
    <x v="2"/>
    <x v="8"/>
  </r>
  <r>
    <x v="0"/>
    <n v="30"/>
    <x v="3"/>
    <x v="3"/>
    <x v="1"/>
    <x v="1"/>
    <n v="15000000"/>
    <n v="1"/>
    <d v="1899-12-30T00:02:00"/>
    <x v="0"/>
    <x v="5"/>
    <x v="0"/>
    <x v="2"/>
    <x v="8"/>
  </r>
  <r>
    <x v="0"/>
    <n v="1"/>
    <x v="3"/>
    <x v="3"/>
    <x v="2"/>
    <x v="2"/>
    <n v="10000000"/>
    <n v="1"/>
    <d v="1899-12-30T00:02:00"/>
    <x v="0"/>
    <x v="4"/>
    <x v="5"/>
    <x v="0"/>
    <x v="12"/>
  </r>
  <r>
    <x v="0"/>
    <n v="2"/>
    <x v="3"/>
    <x v="0"/>
    <x v="2"/>
    <x v="1"/>
    <n v="11000000"/>
    <n v="1"/>
    <d v="1899-12-30T00:02:00"/>
    <x v="0"/>
    <x v="5"/>
    <x v="7"/>
    <x v="2"/>
    <x v="8"/>
  </r>
  <r>
    <x v="0"/>
    <n v="6"/>
    <x v="3"/>
    <x v="0"/>
    <x v="1"/>
    <x v="4"/>
    <n v="20000000"/>
    <n v="1"/>
    <d v="1899-12-30T00:02:00"/>
    <x v="0"/>
    <x v="2"/>
    <x v="7"/>
    <x v="3"/>
    <x v="4"/>
  </r>
  <r>
    <x v="0"/>
    <n v="29"/>
    <x v="3"/>
    <x v="3"/>
    <x v="0"/>
    <x v="4"/>
    <n v="25000000"/>
    <n v="6"/>
    <d v="1899-12-30T00:02:00"/>
    <x v="0"/>
    <x v="0"/>
    <x v="7"/>
    <x v="0"/>
    <x v="0"/>
  </r>
  <r>
    <x v="0"/>
    <n v="22"/>
    <x v="4"/>
    <x v="2"/>
    <x v="2"/>
    <x v="0"/>
    <n v="19000000"/>
    <n v="5"/>
    <d v="1899-12-30T00:02:00"/>
    <x v="1"/>
    <x v="2"/>
    <x v="0"/>
    <x v="0"/>
    <x v="7"/>
  </r>
  <r>
    <x v="0"/>
    <n v="22"/>
    <x v="4"/>
    <x v="0"/>
    <x v="1"/>
    <x v="3"/>
    <n v="20000000"/>
    <n v="4"/>
    <d v="1899-12-30T00:02:00"/>
    <x v="2"/>
    <x v="7"/>
    <x v="0"/>
    <x v="1"/>
    <x v="6"/>
  </r>
  <r>
    <x v="0"/>
    <n v="15"/>
    <x v="4"/>
    <x v="1"/>
    <x v="2"/>
    <x v="2"/>
    <n v="12000000"/>
    <n v="2"/>
    <d v="1899-12-30T00:02:00"/>
    <x v="0"/>
    <x v="2"/>
    <x v="2"/>
    <x v="0"/>
    <x v="0"/>
  </r>
  <r>
    <x v="0"/>
    <n v="19"/>
    <x v="4"/>
    <x v="0"/>
    <x v="0"/>
    <x v="1"/>
    <n v="15000000"/>
    <n v="3"/>
    <d v="1899-12-30T00:02:00"/>
    <x v="0"/>
    <x v="4"/>
    <x v="2"/>
    <x v="1"/>
    <x v="1"/>
  </r>
  <r>
    <x v="0"/>
    <n v="17"/>
    <x v="4"/>
    <x v="1"/>
    <x v="2"/>
    <x v="0"/>
    <n v="7000000"/>
    <n v="3"/>
    <d v="1899-12-30T00:02:00"/>
    <x v="0"/>
    <x v="0"/>
    <x v="5"/>
    <x v="0"/>
    <x v="5"/>
  </r>
  <r>
    <x v="0"/>
    <n v="19"/>
    <x v="4"/>
    <x v="5"/>
    <x v="2"/>
    <x v="2"/>
    <n v="12000000"/>
    <n v="1"/>
    <d v="1899-12-30T00:02:00"/>
    <x v="0"/>
    <x v="1"/>
    <x v="6"/>
    <x v="1"/>
    <x v="2"/>
  </r>
  <r>
    <x v="0"/>
    <n v="14"/>
    <x v="4"/>
    <x v="3"/>
    <x v="0"/>
    <x v="4"/>
    <n v="25000000"/>
    <n v="1"/>
    <d v="1899-12-30T00:02:00"/>
    <x v="0"/>
    <x v="4"/>
    <x v="7"/>
    <x v="2"/>
    <x v="11"/>
  </r>
  <r>
    <x v="0"/>
    <n v="29"/>
    <x v="10"/>
    <x v="1"/>
    <x v="2"/>
    <x v="0"/>
    <n v="19000000"/>
    <n v="1"/>
    <d v="1899-12-30T00:02:00"/>
    <x v="1"/>
    <x v="6"/>
    <x v="0"/>
    <x v="1"/>
    <x v="15"/>
  </r>
  <r>
    <x v="0"/>
    <n v="13"/>
    <x v="10"/>
    <x v="4"/>
    <x v="2"/>
    <x v="2"/>
    <n v="12000000"/>
    <n v="5"/>
    <d v="1899-12-30T00:02:00"/>
    <x v="0"/>
    <x v="0"/>
    <x v="2"/>
    <x v="0"/>
    <x v="9"/>
  </r>
  <r>
    <x v="0"/>
    <n v="26"/>
    <x v="10"/>
    <x v="2"/>
    <x v="1"/>
    <x v="4"/>
    <n v="25000000"/>
    <n v="2"/>
    <d v="1899-12-30T00:02:00"/>
    <x v="0"/>
    <x v="2"/>
    <x v="2"/>
    <x v="3"/>
    <x v="4"/>
  </r>
  <r>
    <x v="0"/>
    <n v="16"/>
    <x v="10"/>
    <x v="0"/>
    <x v="1"/>
    <x v="1"/>
    <n v="15000000"/>
    <n v="3"/>
    <d v="1899-12-30T00:02:00"/>
    <x v="0"/>
    <x v="1"/>
    <x v="3"/>
    <x v="1"/>
    <x v="2"/>
  </r>
  <r>
    <x v="0"/>
    <n v="14"/>
    <x v="10"/>
    <x v="2"/>
    <x v="0"/>
    <x v="0"/>
    <n v="7000000"/>
    <n v="1"/>
    <d v="1899-12-30T00:02:00"/>
    <x v="0"/>
    <x v="4"/>
    <x v="6"/>
    <x v="0"/>
    <x v="7"/>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1"/>
    <n v="8"/>
    <x v="11"/>
    <x v="1"/>
    <x v="0"/>
    <x v="5"/>
    <n v="0"/>
    <n v="3"/>
    <d v="1899-12-30T00:02:00"/>
    <x v="3"/>
    <x v="9"/>
    <x v="2"/>
    <x v="1"/>
    <x v="6"/>
  </r>
  <r>
    <x v="1"/>
    <n v="5"/>
    <x v="11"/>
    <x v="3"/>
    <x v="2"/>
    <x v="5"/>
    <n v="0"/>
    <n v="1"/>
    <d v="1899-12-30T00:02:00"/>
    <x v="3"/>
    <x v="9"/>
    <x v="3"/>
    <x v="0"/>
    <x v="5"/>
  </r>
  <r>
    <x v="1"/>
    <n v="2"/>
    <x v="2"/>
    <x v="4"/>
    <x v="2"/>
    <x v="5"/>
    <n v="0"/>
    <n v="2"/>
    <d v="1899-12-30T00:02:00"/>
    <x v="3"/>
    <x v="9"/>
    <x v="2"/>
    <x v="2"/>
    <x v="11"/>
  </r>
  <r>
    <x v="1"/>
    <n v="20"/>
    <x v="2"/>
    <x v="3"/>
    <x v="2"/>
    <x v="5"/>
    <n v="0"/>
    <n v="1"/>
    <d v="1899-12-30T00:02:00"/>
    <x v="3"/>
    <x v="9"/>
    <x v="4"/>
    <x v="1"/>
    <x v="2"/>
  </r>
  <r>
    <x v="1"/>
    <n v="22"/>
    <x v="2"/>
    <x v="0"/>
    <x v="1"/>
    <x v="5"/>
    <n v="0"/>
    <n v="3"/>
    <d v="1899-12-30T00:02:00"/>
    <x v="3"/>
    <x v="9"/>
    <x v="5"/>
    <x v="1"/>
    <x v="2"/>
  </r>
  <r>
    <x v="1"/>
    <n v="15"/>
    <x v="2"/>
    <x v="0"/>
    <x v="1"/>
    <x v="5"/>
    <n v="0"/>
    <n v="3"/>
    <d v="1899-12-30T00:02:00"/>
    <x v="3"/>
    <x v="9"/>
    <x v="7"/>
    <x v="3"/>
    <x v="13"/>
  </r>
  <r>
    <x v="1"/>
    <n v="21"/>
    <x v="2"/>
    <x v="3"/>
    <x v="2"/>
    <x v="5"/>
    <n v="0"/>
    <n v="2"/>
    <d v="1899-12-30T00:02:00"/>
    <x v="3"/>
    <x v="9"/>
    <x v="7"/>
    <x v="2"/>
    <x v="3"/>
  </r>
  <r>
    <x v="1"/>
    <n v="24"/>
    <x v="3"/>
    <x v="3"/>
    <x v="1"/>
    <x v="5"/>
    <n v="0"/>
    <n v="1"/>
    <d v="1899-12-30T00:02:00"/>
    <x v="3"/>
    <x v="9"/>
    <x v="3"/>
    <x v="3"/>
    <x v="13"/>
  </r>
  <r>
    <x v="1"/>
    <n v="5"/>
    <x v="3"/>
    <x v="2"/>
    <x v="0"/>
    <x v="5"/>
    <n v="0"/>
    <n v="5"/>
    <d v="1899-12-30T00:02:00"/>
    <x v="3"/>
    <x v="9"/>
    <x v="6"/>
    <x v="0"/>
    <x v="12"/>
  </r>
  <r>
    <x v="1"/>
    <n v="15"/>
    <x v="4"/>
    <x v="0"/>
    <x v="1"/>
    <x v="5"/>
    <n v="0"/>
    <n v="1"/>
    <d v="1899-12-30T00:02:00"/>
    <x v="3"/>
    <x v="9"/>
    <x v="2"/>
    <x v="1"/>
    <x v="2"/>
  </r>
  <r>
    <x v="1"/>
    <n v="29"/>
    <x v="4"/>
    <x v="2"/>
    <x v="0"/>
    <x v="5"/>
    <n v="0"/>
    <n v="4"/>
    <d v="1899-12-30T00:02:00"/>
    <x v="3"/>
    <x v="9"/>
    <x v="4"/>
    <x v="0"/>
    <x v="10"/>
  </r>
  <r>
    <x v="1"/>
    <n v="11"/>
    <x v="4"/>
    <x v="2"/>
    <x v="1"/>
    <x v="5"/>
    <n v="0"/>
    <n v="3"/>
    <d v="1899-12-30T00:02:00"/>
    <x v="3"/>
    <x v="9"/>
    <x v="3"/>
    <x v="0"/>
    <x v="7"/>
  </r>
  <r>
    <x v="1"/>
    <n v="26"/>
    <x v="4"/>
    <x v="1"/>
    <x v="1"/>
    <x v="5"/>
    <n v="0"/>
    <n v="6"/>
    <d v="1899-12-30T00:02:00"/>
    <x v="3"/>
    <x v="9"/>
    <x v="7"/>
    <x v="1"/>
    <x v="2"/>
  </r>
  <r>
    <x v="1"/>
    <n v="31"/>
    <x v="10"/>
    <x v="3"/>
    <x v="0"/>
    <x v="5"/>
    <n v="0"/>
    <n v="1"/>
    <d v="1899-12-30T00:02:00"/>
    <x v="3"/>
    <x v="9"/>
    <x v="2"/>
    <x v="0"/>
    <x v="10"/>
  </r>
  <r>
    <x v="1"/>
    <n v="30"/>
    <x v="10"/>
    <x v="4"/>
    <x v="2"/>
    <x v="5"/>
    <n v="0"/>
    <n v="4"/>
    <d v="1899-12-30T00:02:00"/>
    <x v="3"/>
    <x v="9"/>
    <x v="4"/>
    <x v="3"/>
    <x v="4"/>
  </r>
  <r>
    <x v="1"/>
    <n v="14"/>
    <x v="10"/>
    <x v="2"/>
    <x v="2"/>
    <x v="5"/>
    <n v="0"/>
    <n v="1"/>
    <d v="1899-12-30T00:02:00"/>
    <x v="3"/>
    <x v="9"/>
    <x v="1"/>
    <x v="0"/>
    <x v="5"/>
  </r>
  <r>
    <x v="1"/>
    <n v="30"/>
    <x v="10"/>
    <x v="2"/>
    <x v="0"/>
    <x v="5"/>
    <n v="0"/>
    <n v="4"/>
    <d v="1899-12-30T00:02:00"/>
    <x v="3"/>
    <x v="9"/>
    <x v="6"/>
    <x v="1"/>
    <x v="6"/>
  </r>
  <r>
    <x v="1"/>
    <n v="8"/>
    <x v="11"/>
    <x v="1"/>
    <x v="0"/>
    <x v="5"/>
    <n v="0"/>
    <n v="3"/>
    <d v="1899-12-30T00:02:00"/>
    <x v="3"/>
    <x v="9"/>
    <x v="2"/>
    <x v="1"/>
    <x v="6"/>
  </r>
  <r>
    <x v="1"/>
    <n v="5"/>
    <x v="11"/>
    <x v="3"/>
    <x v="2"/>
    <x v="5"/>
    <n v="0"/>
    <n v="1"/>
    <d v="1899-12-30T00:02:00"/>
    <x v="3"/>
    <x v="9"/>
    <x v="3"/>
    <x v="0"/>
    <x v="5"/>
  </r>
  <r>
    <x v="0"/>
    <n v="11"/>
    <x v="6"/>
    <x v="5"/>
    <x v="0"/>
    <x v="2"/>
    <n v="38000000"/>
    <n v="3"/>
    <d v="1899-12-30T00:02:00"/>
    <x v="1"/>
    <x v="4"/>
    <x v="3"/>
    <x v="0"/>
    <x v="7"/>
  </r>
  <r>
    <x v="0"/>
    <n v="13"/>
    <x v="2"/>
    <x v="2"/>
    <x v="4"/>
    <x v="0"/>
    <n v="19000000"/>
    <n v="6"/>
    <d v="1899-12-30T00:02:00"/>
    <x v="1"/>
    <x v="3"/>
    <x v="0"/>
    <x v="0"/>
    <x v="9"/>
  </r>
  <r>
    <x v="0"/>
    <n v="25"/>
    <x v="2"/>
    <x v="2"/>
    <x v="2"/>
    <x v="1"/>
    <n v="15000000"/>
    <n v="4"/>
    <d v="1899-12-30T00:02:00"/>
    <x v="0"/>
    <x v="0"/>
    <x v="2"/>
    <x v="3"/>
    <x v="13"/>
  </r>
  <r>
    <x v="0"/>
    <n v="30"/>
    <x v="2"/>
    <x v="5"/>
    <x v="1"/>
    <x v="2"/>
    <n v="12000000"/>
    <n v="4"/>
    <d v="1899-12-30T00:02:00"/>
    <x v="0"/>
    <x v="0"/>
    <x v="2"/>
    <x v="1"/>
    <x v="1"/>
  </r>
  <r>
    <x v="0"/>
    <n v="26"/>
    <x v="3"/>
    <x v="0"/>
    <x v="3"/>
    <x v="3"/>
    <n v="11000000"/>
    <n v="1"/>
    <d v="1899-12-30T00:02:00"/>
    <x v="2"/>
    <x v="1"/>
    <x v="1"/>
    <x v="3"/>
    <x v="13"/>
  </r>
  <r>
    <x v="0"/>
    <n v="28"/>
    <x v="3"/>
    <x v="1"/>
    <x v="1"/>
    <x v="2"/>
    <n v="12000000"/>
    <n v="1"/>
    <d v="1899-12-30T00:02:00"/>
    <x v="0"/>
    <x v="8"/>
    <x v="2"/>
    <x v="3"/>
    <x v="4"/>
  </r>
  <r>
    <x v="0"/>
    <n v="28"/>
    <x v="3"/>
    <x v="4"/>
    <x v="1"/>
    <x v="0"/>
    <n v="7000000"/>
    <n v="3"/>
    <d v="1899-12-30T00:02:00"/>
    <x v="0"/>
    <x v="4"/>
    <x v="7"/>
    <x v="0"/>
    <x v="7"/>
  </r>
  <r>
    <x v="0"/>
    <n v="24"/>
    <x v="4"/>
    <x v="1"/>
    <x v="3"/>
    <x v="3"/>
    <n v="20000000"/>
    <n v="7"/>
    <d v="1899-12-30T00:02:00"/>
    <x v="0"/>
    <x v="2"/>
    <x v="2"/>
    <x v="1"/>
    <x v="15"/>
  </r>
  <r>
    <x v="0"/>
    <n v="26"/>
    <x v="4"/>
    <x v="0"/>
    <x v="2"/>
    <x v="4"/>
    <n v="25000000"/>
    <n v="3"/>
    <d v="1899-12-30T00:02:00"/>
    <x v="0"/>
    <x v="7"/>
    <x v="4"/>
    <x v="0"/>
    <x v="12"/>
  </r>
  <r>
    <x v="0"/>
    <n v="1"/>
    <x v="4"/>
    <x v="0"/>
    <x v="2"/>
    <x v="1"/>
    <n v="15000000"/>
    <n v="2"/>
    <d v="1899-12-30T00:02:00"/>
    <x v="0"/>
    <x v="3"/>
    <x v="5"/>
    <x v="1"/>
    <x v="1"/>
  </r>
  <r>
    <x v="0"/>
    <n v="30"/>
    <x v="4"/>
    <x v="3"/>
    <x v="1"/>
    <x v="4"/>
    <n v="21000000"/>
    <n v="3"/>
    <d v="1899-12-30T00:02:00"/>
    <x v="0"/>
    <x v="7"/>
    <x v="6"/>
    <x v="1"/>
    <x v="6"/>
  </r>
  <r>
    <x v="0"/>
    <n v="11"/>
    <x v="6"/>
    <x v="5"/>
    <x v="0"/>
    <x v="2"/>
    <n v="38000000"/>
    <n v="3"/>
    <d v="1899-12-30T00:02:00"/>
    <x v="1"/>
    <x v="4"/>
    <x v="3"/>
    <x v="0"/>
    <x v="7"/>
  </r>
  <r>
    <x v="1"/>
    <n v="11"/>
    <x v="4"/>
    <x v="4"/>
    <x v="2"/>
    <x v="5"/>
    <n v="0"/>
    <n v="2"/>
    <d v="1899-12-30T00:02:00"/>
    <x v="3"/>
    <x v="9"/>
    <x v="1"/>
    <x v="2"/>
    <x v="3"/>
  </r>
  <r>
    <x v="1"/>
    <n v="29"/>
    <x v="4"/>
    <x v="0"/>
    <x v="2"/>
    <x v="5"/>
    <n v="0"/>
    <n v="3"/>
    <d v="1899-12-30T00:02:00"/>
    <x v="3"/>
    <x v="9"/>
    <x v="6"/>
    <x v="1"/>
    <x v="6"/>
  </r>
  <r>
    <x v="0"/>
    <n v="12"/>
    <x v="6"/>
    <x v="2"/>
    <x v="0"/>
    <x v="0"/>
    <n v="19000000"/>
    <n v="5"/>
    <d v="1899-12-30T00:02:00"/>
    <x v="1"/>
    <x v="3"/>
    <x v="6"/>
    <x v="3"/>
    <x v="13"/>
  </r>
  <r>
    <x v="0"/>
    <n v="11"/>
    <x v="7"/>
    <x v="0"/>
    <x v="2"/>
    <x v="3"/>
    <n v="20000000"/>
    <n v="1"/>
    <d v="1899-12-30T00:02:00"/>
    <x v="0"/>
    <x v="2"/>
    <x v="2"/>
    <x v="1"/>
    <x v="2"/>
  </r>
  <r>
    <x v="0"/>
    <n v="19"/>
    <x v="3"/>
    <x v="4"/>
    <x v="1"/>
    <x v="3"/>
    <n v="11000000"/>
    <n v="1"/>
    <d v="1899-12-30T00:02:00"/>
    <x v="2"/>
    <x v="7"/>
    <x v="3"/>
    <x v="0"/>
    <x v="0"/>
  </r>
  <r>
    <x v="0"/>
    <n v="5"/>
    <x v="3"/>
    <x v="4"/>
    <x v="1"/>
    <x v="4"/>
    <n v="25000000"/>
    <n v="2"/>
    <d v="1899-12-30T00:02:00"/>
    <x v="0"/>
    <x v="7"/>
    <x v="2"/>
    <x v="2"/>
    <x v="8"/>
  </r>
  <r>
    <x v="0"/>
    <n v="22"/>
    <x v="3"/>
    <x v="5"/>
    <x v="1"/>
    <x v="2"/>
    <n v="12000000"/>
    <n v="2"/>
    <d v="1899-12-30T00:02:00"/>
    <x v="0"/>
    <x v="7"/>
    <x v="4"/>
    <x v="0"/>
    <x v="5"/>
  </r>
  <r>
    <x v="0"/>
    <n v="8"/>
    <x v="3"/>
    <x v="4"/>
    <x v="2"/>
    <x v="2"/>
    <n v="12000000"/>
    <n v="3"/>
    <d v="1899-12-30T00:02:00"/>
    <x v="0"/>
    <x v="0"/>
    <x v="5"/>
    <x v="1"/>
    <x v="2"/>
  </r>
  <r>
    <x v="0"/>
    <n v="22"/>
    <x v="4"/>
    <x v="3"/>
    <x v="2"/>
    <x v="1"/>
    <n v="15000000"/>
    <n v="1"/>
    <d v="1899-12-30T00:02:00"/>
    <x v="0"/>
    <x v="6"/>
    <x v="4"/>
    <x v="0"/>
    <x v="9"/>
  </r>
  <r>
    <x v="0"/>
    <n v="11"/>
    <x v="4"/>
    <x v="1"/>
    <x v="3"/>
    <x v="4"/>
    <n v="21000000"/>
    <n v="4"/>
    <d v="1899-12-30T00:02:00"/>
    <x v="0"/>
    <x v="0"/>
    <x v="0"/>
    <x v="1"/>
    <x v="1"/>
  </r>
  <r>
    <x v="0"/>
    <n v="17"/>
    <x v="4"/>
    <x v="0"/>
    <x v="2"/>
    <x v="1"/>
    <n v="15000000"/>
    <n v="1"/>
    <d v="1899-12-30T00:02:00"/>
    <x v="0"/>
    <x v="2"/>
    <x v="6"/>
    <x v="1"/>
    <x v="2"/>
  </r>
  <r>
    <x v="0"/>
    <n v="12"/>
    <x v="6"/>
    <x v="2"/>
    <x v="0"/>
    <x v="0"/>
    <n v="19000000"/>
    <n v="5"/>
    <d v="1899-12-30T00:02:00"/>
    <x v="1"/>
    <x v="3"/>
    <x v="6"/>
    <x v="3"/>
    <x v="13"/>
  </r>
  <r>
    <x v="0"/>
    <n v="11"/>
    <x v="7"/>
    <x v="0"/>
    <x v="2"/>
    <x v="3"/>
    <n v="20000000"/>
    <n v="1"/>
    <d v="1899-12-30T00:02:00"/>
    <x v="0"/>
    <x v="2"/>
    <x v="2"/>
    <x v="1"/>
    <x v="2"/>
  </r>
  <r>
    <x v="1"/>
    <n v="5"/>
    <x v="8"/>
    <x v="0"/>
    <x v="1"/>
    <x v="5"/>
    <n v="0"/>
    <n v="1"/>
    <d v="1899-12-30T00:02:00"/>
    <x v="3"/>
    <x v="9"/>
    <x v="5"/>
    <x v="0"/>
    <x v="10"/>
  </r>
  <r>
    <x v="1"/>
    <n v="29"/>
    <x v="2"/>
    <x v="0"/>
    <x v="2"/>
    <x v="5"/>
    <n v="0"/>
    <n v="4"/>
    <d v="1899-12-30T00:02:00"/>
    <x v="3"/>
    <x v="9"/>
    <x v="6"/>
    <x v="0"/>
    <x v="9"/>
  </r>
  <r>
    <x v="1"/>
    <n v="11"/>
    <x v="3"/>
    <x v="1"/>
    <x v="2"/>
    <x v="5"/>
    <n v="0"/>
    <n v="1"/>
    <d v="1899-12-30T00:02:00"/>
    <x v="3"/>
    <x v="9"/>
    <x v="7"/>
    <x v="2"/>
    <x v="11"/>
  </r>
  <r>
    <x v="1"/>
    <n v="23"/>
    <x v="4"/>
    <x v="3"/>
    <x v="1"/>
    <x v="5"/>
    <n v="0"/>
    <n v="1"/>
    <d v="1899-12-30T00:02:00"/>
    <x v="3"/>
    <x v="9"/>
    <x v="2"/>
    <x v="1"/>
    <x v="2"/>
  </r>
  <r>
    <x v="1"/>
    <n v="5"/>
    <x v="8"/>
    <x v="0"/>
    <x v="1"/>
    <x v="5"/>
    <n v="0"/>
    <n v="1"/>
    <d v="1899-12-30T00:02:00"/>
    <x v="3"/>
    <x v="9"/>
    <x v="5"/>
    <x v="0"/>
    <x v="10"/>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0"/>
    <n v="12"/>
    <x v="2"/>
    <x v="5"/>
    <x v="2"/>
    <x v="2"/>
    <n v="38000000"/>
    <n v="6"/>
    <d v="1899-12-30T00:02:00"/>
    <x v="1"/>
    <x v="3"/>
    <x v="2"/>
    <x v="0"/>
    <x v="10"/>
  </r>
  <r>
    <x v="0"/>
    <n v="7"/>
    <x v="2"/>
    <x v="0"/>
    <x v="1"/>
    <x v="4"/>
    <n v="21000000"/>
    <n v="5"/>
    <d v="1899-12-30T00:02:00"/>
    <x v="0"/>
    <x v="1"/>
    <x v="5"/>
    <x v="1"/>
    <x v="1"/>
  </r>
  <r>
    <x v="0"/>
    <n v="11"/>
    <x v="2"/>
    <x v="1"/>
    <x v="2"/>
    <x v="4"/>
    <n v="25000000"/>
    <n v="5"/>
    <d v="1899-12-30T00:02:00"/>
    <x v="0"/>
    <x v="4"/>
    <x v="3"/>
    <x v="1"/>
    <x v="2"/>
  </r>
  <r>
    <x v="0"/>
    <n v="29"/>
    <x v="2"/>
    <x v="4"/>
    <x v="2"/>
    <x v="0"/>
    <n v="7000000"/>
    <n v="2"/>
    <d v="1899-12-30T00:02:00"/>
    <x v="0"/>
    <x v="5"/>
    <x v="4"/>
    <x v="3"/>
    <x v="13"/>
  </r>
  <r>
    <x v="0"/>
    <n v="3"/>
    <x v="3"/>
    <x v="3"/>
    <x v="2"/>
    <x v="2"/>
    <n v="38000000"/>
    <n v="3"/>
    <d v="1899-12-30T00:02:00"/>
    <x v="1"/>
    <x v="2"/>
    <x v="2"/>
    <x v="2"/>
    <x v="11"/>
  </r>
  <r>
    <x v="0"/>
    <n v="6"/>
    <x v="3"/>
    <x v="3"/>
    <x v="2"/>
    <x v="0"/>
    <n v="19000000"/>
    <n v="1"/>
    <d v="1899-12-30T00:02:00"/>
    <x v="1"/>
    <x v="0"/>
    <x v="4"/>
    <x v="3"/>
    <x v="4"/>
  </r>
  <r>
    <x v="0"/>
    <n v="26"/>
    <x v="3"/>
    <x v="0"/>
    <x v="1"/>
    <x v="3"/>
    <n v="20000000"/>
    <n v="3"/>
    <d v="1899-12-30T00:02:00"/>
    <x v="2"/>
    <x v="0"/>
    <x v="6"/>
    <x v="0"/>
    <x v="10"/>
  </r>
  <r>
    <x v="0"/>
    <n v="1"/>
    <x v="3"/>
    <x v="0"/>
    <x v="0"/>
    <x v="0"/>
    <n v="7000000"/>
    <n v="4"/>
    <d v="1899-12-30T00:02:00"/>
    <x v="0"/>
    <x v="2"/>
    <x v="2"/>
    <x v="1"/>
    <x v="2"/>
  </r>
  <r>
    <x v="0"/>
    <n v="1"/>
    <x v="3"/>
    <x v="2"/>
    <x v="1"/>
    <x v="2"/>
    <n v="12000000"/>
    <n v="4"/>
    <d v="1899-12-30T00:02:00"/>
    <x v="0"/>
    <x v="7"/>
    <x v="2"/>
    <x v="0"/>
    <x v="12"/>
  </r>
  <r>
    <x v="0"/>
    <n v="30"/>
    <x v="3"/>
    <x v="3"/>
    <x v="2"/>
    <x v="1"/>
    <n v="15000000"/>
    <n v="2"/>
    <d v="1899-12-30T00:02:00"/>
    <x v="0"/>
    <x v="6"/>
    <x v="6"/>
    <x v="1"/>
    <x v="1"/>
  </r>
  <r>
    <x v="0"/>
    <n v="3"/>
    <x v="4"/>
    <x v="2"/>
    <x v="1"/>
    <x v="3"/>
    <n v="20000000"/>
    <n v="6"/>
    <d v="1899-12-30T00:02:00"/>
    <x v="2"/>
    <x v="2"/>
    <x v="3"/>
    <x v="2"/>
    <x v="8"/>
  </r>
  <r>
    <x v="0"/>
    <n v="3"/>
    <x v="4"/>
    <x v="3"/>
    <x v="3"/>
    <x v="4"/>
    <n v="25000000"/>
    <n v="2"/>
    <d v="1899-12-30T00:02:00"/>
    <x v="0"/>
    <x v="8"/>
    <x v="5"/>
    <x v="0"/>
    <x v="7"/>
  </r>
  <r>
    <x v="0"/>
    <n v="10"/>
    <x v="4"/>
    <x v="2"/>
    <x v="2"/>
    <x v="2"/>
    <n v="12000000"/>
    <n v="1"/>
    <d v="1899-12-30T00:02:00"/>
    <x v="0"/>
    <x v="5"/>
    <x v="5"/>
    <x v="0"/>
    <x v="12"/>
  </r>
  <r>
    <x v="0"/>
    <n v="2"/>
    <x v="4"/>
    <x v="1"/>
    <x v="1"/>
    <x v="4"/>
    <n v="25000000"/>
    <n v="1"/>
    <d v="1899-12-30T00:02:00"/>
    <x v="0"/>
    <x v="2"/>
    <x v="6"/>
    <x v="1"/>
    <x v="6"/>
  </r>
  <r>
    <x v="0"/>
    <n v="16"/>
    <x v="10"/>
    <x v="0"/>
    <x v="1"/>
    <x v="1"/>
    <n v="12000000"/>
    <n v="3"/>
    <d v="1899-12-30T00:02:00"/>
    <x v="0"/>
    <x v="3"/>
    <x v="3"/>
    <x v="3"/>
    <x v="4"/>
  </r>
  <r>
    <x v="0"/>
    <n v="1"/>
    <x v="10"/>
    <x v="1"/>
    <x v="2"/>
    <x v="2"/>
    <n v="10000000"/>
    <n v="2"/>
    <d v="1899-12-30T00:02:00"/>
    <x v="0"/>
    <x v="4"/>
    <x v="7"/>
    <x v="2"/>
    <x v="11"/>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1"/>
    <n v="23"/>
    <x v="2"/>
    <x v="5"/>
    <x v="1"/>
    <x v="5"/>
    <n v="0"/>
    <n v="1"/>
    <d v="1899-12-30T00:02:00"/>
    <x v="3"/>
    <x v="9"/>
    <x v="6"/>
    <x v="2"/>
    <x v="8"/>
  </r>
  <r>
    <x v="1"/>
    <n v="9"/>
    <x v="3"/>
    <x v="2"/>
    <x v="4"/>
    <x v="5"/>
    <n v="0"/>
    <n v="1"/>
    <d v="1899-12-30T00:02:00"/>
    <x v="3"/>
    <x v="9"/>
    <x v="3"/>
    <x v="2"/>
    <x v="8"/>
  </r>
  <r>
    <x v="1"/>
    <n v="23"/>
    <x v="3"/>
    <x v="2"/>
    <x v="3"/>
    <x v="5"/>
    <n v="0"/>
    <n v="1"/>
    <d v="1899-12-30T00:02:00"/>
    <x v="3"/>
    <x v="9"/>
    <x v="0"/>
    <x v="3"/>
    <x v="4"/>
  </r>
  <r>
    <x v="1"/>
    <n v="4"/>
    <x v="3"/>
    <x v="0"/>
    <x v="2"/>
    <x v="5"/>
    <n v="0"/>
    <n v="2"/>
    <d v="1899-12-30T00:02:00"/>
    <x v="3"/>
    <x v="9"/>
    <x v="5"/>
    <x v="1"/>
    <x v="6"/>
  </r>
  <r>
    <x v="1"/>
    <n v="8"/>
    <x v="10"/>
    <x v="0"/>
    <x v="0"/>
    <x v="5"/>
    <n v="0"/>
    <n v="6"/>
    <d v="1899-12-30T00:02:00"/>
    <x v="3"/>
    <x v="9"/>
    <x v="5"/>
    <x v="1"/>
    <x v="15"/>
  </r>
  <r>
    <x v="1"/>
    <n v="10"/>
    <x v="10"/>
    <x v="2"/>
    <x v="2"/>
    <x v="5"/>
    <n v="0"/>
    <n v="1"/>
    <d v="1899-12-30T00:02:00"/>
    <x v="3"/>
    <x v="9"/>
    <x v="7"/>
    <x v="3"/>
    <x v="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0"/>
    <n v="27"/>
    <x v="3"/>
    <x v="0"/>
    <x v="2"/>
    <x v="0"/>
    <n v="19000000"/>
    <n v="2"/>
    <d v="1899-12-30T00:02:00"/>
    <x v="1"/>
    <x v="7"/>
    <x v="5"/>
    <x v="0"/>
    <x v="7"/>
  </r>
  <r>
    <x v="0"/>
    <n v="9"/>
    <x v="3"/>
    <x v="0"/>
    <x v="0"/>
    <x v="1"/>
    <n v="15000000"/>
    <n v="1"/>
    <d v="1899-12-30T00:02:00"/>
    <x v="0"/>
    <x v="5"/>
    <x v="7"/>
    <x v="1"/>
    <x v="1"/>
  </r>
  <r>
    <x v="0"/>
    <n v="19"/>
    <x v="3"/>
    <x v="0"/>
    <x v="2"/>
    <x v="4"/>
    <n v="25000000"/>
    <n v="3"/>
    <d v="1899-12-30T00:02:00"/>
    <x v="0"/>
    <x v="0"/>
    <x v="6"/>
    <x v="1"/>
    <x v="1"/>
  </r>
  <r>
    <x v="0"/>
    <n v="3"/>
    <x v="4"/>
    <x v="0"/>
    <x v="2"/>
    <x v="2"/>
    <n v="12000000"/>
    <n v="4"/>
    <d v="1899-12-30T00:02:00"/>
    <x v="0"/>
    <x v="0"/>
    <x v="0"/>
    <x v="2"/>
    <x v="11"/>
  </r>
  <r>
    <x v="0"/>
    <n v="12"/>
    <x v="4"/>
    <x v="4"/>
    <x v="0"/>
    <x v="1"/>
    <n v="15000000"/>
    <n v="2"/>
    <d v="1899-12-30T00:02:00"/>
    <x v="0"/>
    <x v="8"/>
    <x v="5"/>
    <x v="2"/>
    <x v="3"/>
  </r>
  <r>
    <x v="0"/>
    <n v="15"/>
    <x v="10"/>
    <x v="0"/>
    <x v="1"/>
    <x v="2"/>
    <n v="38000000"/>
    <n v="1"/>
    <d v="1899-12-30T00:02:00"/>
    <x v="1"/>
    <x v="2"/>
    <x v="3"/>
    <x v="1"/>
    <x v="1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1"/>
    <n v="12"/>
    <x v="5"/>
    <x v="0"/>
    <x v="1"/>
    <x v="5"/>
    <n v="0"/>
    <n v="1"/>
    <d v="1899-12-30T00:02:00"/>
    <x v="3"/>
    <x v="9"/>
    <x v="3"/>
    <x v="1"/>
    <x v="15"/>
  </r>
  <r>
    <x v="1"/>
    <n v="30"/>
    <x v="10"/>
    <x v="1"/>
    <x v="3"/>
    <x v="5"/>
    <n v="0"/>
    <n v="5"/>
    <d v="1899-12-30T00:02:00"/>
    <x v="3"/>
    <x v="9"/>
    <x v="2"/>
    <x v="0"/>
    <x v="12"/>
  </r>
  <r>
    <x v="1"/>
    <n v="30"/>
    <x v="10"/>
    <x v="1"/>
    <x v="2"/>
    <x v="5"/>
    <n v="0"/>
    <n v="3"/>
    <d v="1899-12-30T00:02:00"/>
    <x v="3"/>
    <x v="9"/>
    <x v="7"/>
    <x v="0"/>
    <x v="7"/>
  </r>
  <r>
    <x v="1"/>
    <n v="12"/>
    <x v="5"/>
    <x v="0"/>
    <x v="1"/>
    <x v="5"/>
    <n v="0"/>
    <n v="1"/>
    <d v="1899-12-30T00:02:00"/>
    <x v="3"/>
    <x v="9"/>
    <x v="3"/>
    <x v="1"/>
    <x v="15"/>
  </r>
  <r>
    <x v="0"/>
    <n v="11"/>
    <x v="6"/>
    <x v="3"/>
    <x v="2"/>
    <x v="2"/>
    <n v="38000000"/>
    <n v="5"/>
    <d v="1899-12-30T00:02:00"/>
    <x v="1"/>
    <x v="6"/>
    <x v="3"/>
    <x v="1"/>
    <x v="1"/>
  </r>
  <r>
    <x v="0"/>
    <n v="15"/>
    <x v="1"/>
    <x v="0"/>
    <x v="1"/>
    <x v="1"/>
    <n v="15000000"/>
    <n v="2"/>
    <d v="1899-12-30T00:02:00"/>
    <x v="0"/>
    <x v="7"/>
    <x v="5"/>
    <x v="0"/>
    <x v="7"/>
  </r>
  <r>
    <x v="0"/>
    <n v="30"/>
    <x v="2"/>
    <x v="3"/>
    <x v="1"/>
    <x v="0"/>
    <n v="19000000"/>
    <n v="4"/>
    <d v="1899-12-30T00:02:00"/>
    <x v="1"/>
    <x v="2"/>
    <x v="7"/>
    <x v="0"/>
    <x v="0"/>
  </r>
  <r>
    <x v="0"/>
    <n v="23"/>
    <x v="2"/>
    <x v="0"/>
    <x v="1"/>
    <x v="2"/>
    <n v="12000000"/>
    <n v="2"/>
    <d v="1899-12-30T00:02:00"/>
    <x v="0"/>
    <x v="4"/>
    <x v="1"/>
    <x v="2"/>
    <x v="8"/>
  </r>
  <r>
    <x v="0"/>
    <n v="30"/>
    <x v="2"/>
    <x v="3"/>
    <x v="2"/>
    <x v="3"/>
    <n v="20000000"/>
    <n v="4"/>
    <d v="1899-12-30T00:02:00"/>
    <x v="0"/>
    <x v="0"/>
    <x v="2"/>
    <x v="0"/>
    <x v="5"/>
  </r>
  <r>
    <x v="0"/>
    <n v="11"/>
    <x v="2"/>
    <x v="3"/>
    <x v="1"/>
    <x v="1"/>
    <n v="15000000"/>
    <n v="3"/>
    <d v="1899-12-30T00:02:00"/>
    <x v="0"/>
    <x v="2"/>
    <x v="4"/>
    <x v="1"/>
    <x v="6"/>
  </r>
  <r>
    <x v="0"/>
    <n v="4"/>
    <x v="2"/>
    <x v="0"/>
    <x v="0"/>
    <x v="1"/>
    <n v="11000000"/>
    <n v="2"/>
    <d v="1899-12-30T00:02:00"/>
    <x v="0"/>
    <x v="2"/>
    <x v="6"/>
    <x v="3"/>
    <x v="13"/>
  </r>
  <r>
    <x v="0"/>
    <n v="12"/>
    <x v="2"/>
    <x v="0"/>
    <x v="1"/>
    <x v="2"/>
    <n v="12000000"/>
    <n v="1"/>
    <d v="1899-12-30T00:02:00"/>
    <x v="0"/>
    <x v="7"/>
    <x v="6"/>
    <x v="1"/>
    <x v="6"/>
  </r>
  <r>
    <x v="0"/>
    <n v="9"/>
    <x v="2"/>
    <x v="3"/>
    <x v="4"/>
    <x v="4"/>
    <n v="21000000"/>
    <n v="1"/>
    <d v="1899-12-30T00:02:00"/>
    <x v="0"/>
    <x v="3"/>
    <x v="7"/>
    <x v="1"/>
    <x v="6"/>
  </r>
  <r>
    <x v="0"/>
    <n v="26"/>
    <x v="3"/>
    <x v="2"/>
    <x v="2"/>
    <x v="2"/>
    <n v="38000000"/>
    <n v="3"/>
    <d v="1899-12-30T00:02:00"/>
    <x v="1"/>
    <x v="4"/>
    <x v="6"/>
    <x v="0"/>
    <x v="7"/>
  </r>
  <r>
    <x v="0"/>
    <n v="18"/>
    <x v="3"/>
    <x v="4"/>
    <x v="2"/>
    <x v="3"/>
    <n v="11000000"/>
    <n v="2"/>
    <d v="1899-12-30T00:02:00"/>
    <x v="2"/>
    <x v="8"/>
    <x v="0"/>
    <x v="3"/>
    <x v="4"/>
  </r>
  <r>
    <x v="0"/>
    <n v="29"/>
    <x v="3"/>
    <x v="4"/>
    <x v="1"/>
    <x v="1"/>
    <n v="15000000"/>
    <n v="2"/>
    <d v="1899-12-30T00:02:00"/>
    <x v="0"/>
    <x v="0"/>
    <x v="3"/>
    <x v="2"/>
    <x v="3"/>
  </r>
  <r>
    <x v="0"/>
    <n v="27"/>
    <x v="3"/>
    <x v="4"/>
    <x v="2"/>
    <x v="4"/>
    <n v="25000000"/>
    <n v="4"/>
    <d v="1899-12-30T00:02:00"/>
    <x v="0"/>
    <x v="7"/>
    <x v="5"/>
    <x v="1"/>
    <x v="2"/>
  </r>
  <r>
    <x v="0"/>
    <n v="15"/>
    <x v="4"/>
    <x v="3"/>
    <x v="0"/>
    <x v="3"/>
    <n v="15000000"/>
    <n v="1"/>
    <d v="1899-12-30T00:02:00"/>
    <x v="0"/>
    <x v="7"/>
    <x v="2"/>
    <x v="1"/>
    <x v="6"/>
  </r>
  <r>
    <x v="0"/>
    <n v="16"/>
    <x v="4"/>
    <x v="5"/>
    <x v="1"/>
    <x v="2"/>
    <n v="12000000"/>
    <n v="3"/>
    <d v="1899-12-30T00:02:00"/>
    <x v="0"/>
    <x v="6"/>
    <x v="5"/>
    <x v="3"/>
    <x v="4"/>
  </r>
  <r>
    <x v="0"/>
    <n v="27"/>
    <x v="4"/>
    <x v="4"/>
    <x v="0"/>
    <x v="4"/>
    <n v="20000000"/>
    <n v="1"/>
    <d v="1899-12-30T00:02:00"/>
    <x v="0"/>
    <x v="0"/>
    <x v="2"/>
    <x v="0"/>
    <x v="10"/>
  </r>
  <r>
    <x v="0"/>
    <n v="3"/>
    <x v="4"/>
    <x v="2"/>
    <x v="1"/>
    <x v="2"/>
    <n v="12000000"/>
    <n v="4"/>
    <d v="1899-12-30T00:02:00"/>
    <x v="0"/>
    <x v="0"/>
    <x v="5"/>
    <x v="3"/>
    <x v="13"/>
  </r>
  <r>
    <x v="0"/>
    <n v="26"/>
    <x v="4"/>
    <x v="3"/>
    <x v="1"/>
    <x v="1"/>
    <n v="12000000"/>
    <n v="1"/>
    <d v="1899-12-30T00:02:00"/>
    <x v="0"/>
    <x v="0"/>
    <x v="7"/>
    <x v="2"/>
    <x v="11"/>
  </r>
  <r>
    <x v="0"/>
    <n v="22"/>
    <x v="10"/>
    <x v="0"/>
    <x v="2"/>
    <x v="2"/>
    <n v="12000000"/>
    <n v="4"/>
    <d v="1899-12-30T00:02:00"/>
    <x v="0"/>
    <x v="8"/>
    <x v="3"/>
    <x v="0"/>
    <x v="7"/>
  </r>
  <r>
    <x v="0"/>
    <n v="24"/>
    <x v="10"/>
    <x v="0"/>
    <x v="2"/>
    <x v="0"/>
    <n v="7000000"/>
    <n v="2"/>
    <d v="1899-12-30T00:02:00"/>
    <x v="0"/>
    <x v="7"/>
    <x v="3"/>
    <x v="2"/>
    <x v="11"/>
  </r>
  <r>
    <x v="0"/>
    <n v="24"/>
    <x v="10"/>
    <x v="0"/>
    <x v="4"/>
    <x v="4"/>
    <n v="25000000"/>
    <n v="2"/>
    <d v="1899-12-30T00:02:00"/>
    <x v="0"/>
    <x v="0"/>
    <x v="5"/>
    <x v="3"/>
    <x v="4"/>
  </r>
  <r>
    <x v="0"/>
    <n v="11"/>
    <x v="6"/>
    <x v="3"/>
    <x v="2"/>
    <x v="2"/>
    <n v="38000000"/>
    <n v="5"/>
    <d v="1899-12-30T00:02:00"/>
    <x v="1"/>
    <x v="6"/>
    <x v="3"/>
    <x v="1"/>
    <x v="1"/>
  </r>
  <r>
    <x v="0"/>
    <n v="15"/>
    <x v="1"/>
    <x v="0"/>
    <x v="1"/>
    <x v="1"/>
    <n v="15000000"/>
    <n v="2"/>
    <d v="1899-12-30T00:02:00"/>
    <x v="0"/>
    <x v="7"/>
    <x v="5"/>
    <x v="0"/>
    <x v="7"/>
  </r>
  <r>
    <x v="1"/>
    <n v="17"/>
    <x v="7"/>
    <x v="1"/>
    <x v="1"/>
    <x v="5"/>
    <n v="0"/>
    <n v="2"/>
    <d v="1899-12-30T00:02:00"/>
    <x v="3"/>
    <x v="9"/>
    <x v="2"/>
    <x v="1"/>
    <x v="2"/>
  </r>
  <r>
    <x v="1"/>
    <n v="6"/>
    <x v="1"/>
    <x v="0"/>
    <x v="0"/>
    <x v="5"/>
    <n v="0"/>
    <n v="1"/>
    <d v="1899-12-30T00:02:00"/>
    <x v="3"/>
    <x v="9"/>
    <x v="5"/>
    <x v="2"/>
    <x v="11"/>
  </r>
  <r>
    <x v="1"/>
    <n v="18"/>
    <x v="2"/>
    <x v="0"/>
    <x v="1"/>
    <x v="5"/>
    <n v="0"/>
    <n v="1"/>
    <d v="1899-12-30T00:02:00"/>
    <x v="3"/>
    <x v="9"/>
    <x v="7"/>
    <x v="2"/>
    <x v="8"/>
  </r>
  <r>
    <x v="1"/>
    <n v="11"/>
    <x v="4"/>
    <x v="5"/>
    <x v="2"/>
    <x v="5"/>
    <n v="0"/>
    <n v="4"/>
    <d v="1899-12-30T00:02:00"/>
    <x v="3"/>
    <x v="9"/>
    <x v="6"/>
    <x v="1"/>
    <x v="1"/>
  </r>
  <r>
    <x v="1"/>
    <n v="21"/>
    <x v="10"/>
    <x v="4"/>
    <x v="1"/>
    <x v="5"/>
    <n v="0"/>
    <n v="1"/>
    <d v="1899-12-30T00:02:00"/>
    <x v="3"/>
    <x v="9"/>
    <x v="4"/>
    <x v="0"/>
    <x v="10"/>
  </r>
  <r>
    <x v="1"/>
    <n v="17"/>
    <x v="7"/>
    <x v="1"/>
    <x v="1"/>
    <x v="5"/>
    <n v="0"/>
    <n v="2"/>
    <d v="1899-12-30T00:02:00"/>
    <x v="3"/>
    <x v="9"/>
    <x v="2"/>
    <x v="1"/>
    <x v="2"/>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0"/>
    <n v="26"/>
    <x v="1"/>
    <x v="5"/>
    <x v="0"/>
    <x v="1"/>
    <n v="15000000"/>
    <n v="1"/>
    <d v="1899-12-30T00:02:00"/>
    <x v="0"/>
    <x v="8"/>
    <x v="5"/>
    <x v="1"/>
    <x v="2"/>
  </r>
  <r>
    <x v="0"/>
    <n v="30"/>
    <x v="2"/>
    <x v="2"/>
    <x v="2"/>
    <x v="1"/>
    <n v="15000000"/>
    <n v="1"/>
    <d v="1899-12-30T00:02:00"/>
    <x v="0"/>
    <x v="2"/>
    <x v="5"/>
    <x v="2"/>
    <x v="11"/>
  </r>
  <r>
    <x v="0"/>
    <n v="11"/>
    <x v="2"/>
    <x v="2"/>
    <x v="0"/>
    <x v="2"/>
    <n v="12000000"/>
    <n v="5"/>
    <d v="1899-12-30T00:02:00"/>
    <x v="0"/>
    <x v="1"/>
    <x v="6"/>
    <x v="0"/>
    <x v="9"/>
  </r>
  <r>
    <x v="0"/>
    <n v="28"/>
    <x v="3"/>
    <x v="0"/>
    <x v="0"/>
    <x v="4"/>
    <n v="21000000"/>
    <n v="3"/>
    <d v="1899-12-30T00:02:00"/>
    <x v="0"/>
    <x v="4"/>
    <x v="1"/>
    <x v="1"/>
    <x v="6"/>
  </r>
  <r>
    <x v="0"/>
    <n v="8"/>
    <x v="3"/>
    <x v="4"/>
    <x v="0"/>
    <x v="2"/>
    <n v="12000000"/>
    <n v="2"/>
    <d v="1899-12-30T00:02:00"/>
    <x v="0"/>
    <x v="4"/>
    <x v="3"/>
    <x v="0"/>
    <x v="12"/>
  </r>
  <r>
    <x v="0"/>
    <n v="25"/>
    <x v="3"/>
    <x v="0"/>
    <x v="1"/>
    <x v="4"/>
    <n v="25000000"/>
    <n v="1"/>
    <d v="1899-12-30T00:02:00"/>
    <x v="0"/>
    <x v="0"/>
    <x v="6"/>
    <x v="3"/>
    <x v="4"/>
  </r>
  <r>
    <x v="0"/>
    <n v="2"/>
    <x v="3"/>
    <x v="2"/>
    <x v="1"/>
    <x v="1"/>
    <n v="15000000"/>
    <n v="3"/>
    <d v="1899-12-30T00:02:00"/>
    <x v="0"/>
    <x v="0"/>
    <x v="7"/>
    <x v="0"/>
    <x v="12"/>
  </r>
  <r>
    <x v="0"/>
    <n v="29"/>
    <x v="3"/>
    <x v="0"/>
    <x v="1"/>
    <x v="2"/>
    <n v="12000000"/>
    <n v="1"/>
    <d v="1899-12-30T00:02:00"/>
    <x v="0"/>
    <x v="7"/>
    <x v="7"/>
    <x v="1"/>
    <x v="2"/>
  </r>
  <r>
    <x v="0"/>
    <n v="6"/>
    <x v="4"/>
    <x v="1"/>
    <x v="1"/>
    <x v="1"/>
    <n v="15000000"/>
    <n v="1"/>
    <d v="1899-12-30T00:02:00"/>
    <x v="0"/>
    <x v="0"/>
    <x v="2"/>
    <x v="1"/>
    <x v="6"/>
  </r>
  <r>
    <x v="0"/>
    <n v="19"/>
    <x v="4"/>
    <x v="0"/>
    <x v="1"/>
    <x v="1"/>
    <n v="15000000"/>
    <n v="5"/>
    <d v="1899-12-30T00:02:00"/>
    <x v="0"/>
    <x v="7"/>
    <x v="2"/>
    <x v="1"/>
    <x v="6"/>
  </r>
  <r>
    <x v="0"/>
    <n v="22"/>
    <x v="4"/>
    <x v="4"/>
    <x v="1"/>
    <x v="2"/>
    <n v="12000000"/>
    <n v="2"/>
    <d v="1899-12-30T00:02:00"/>
    <x v="0"/>
    <x v="2"/>
    <x v="1"/>
    <x v="0"/>
    <x v="7"/>
  </r>
  <r>
    <x v="0"/>
    <n v="3"/>
    <x v="4"/>
    <x v="1"/>
    <x v="2"/>
    <x v="4"/>
    <n v="25000000"/>
    <n v="3"/>
    <d v="1899-12-30T00:02:00"/>
    <x v="0"/>
    <x v="4"/>
    <x v="4"/>
    <x v="0"/>
    <x v="5"/>
  </r>
  <r>
    <x v="0"/>
    <n v="2"/>
    <x v="4"/>
    <x v="1"/>
    <x v="2"/>
    <x v="4"/>
    <n v="25000000"/>
    <n v="1"/>
    <d v="1899-12-30T00:02:00"/>
    <x v="0"/>
    <x v="7"/>
    <x v="7"/>
    <x v="0"/>
    <x v="12"/>
  </r>
  <r>
    <x v="0"/>
    <n v="1"/>
    <x v="10"/>
    <x v="2"/>
    <x v="2"/>
    <x v="3"/>
    <n v="20000000"/>
    <n v="4"/>
    <d v="1899-12-30T00:02:00"/>
    <x v="0"/>
    <x v="1"/>
    <x v="7"/>
    <x v="1"/>
    <x v="6"/>
  </r>
  <r>
    <x v="0"/>
    <n v="17"/>
    <x v="10"/>
    <x v="5"/>
    <x v="0"/>
    <x v="1"/>
    <n v="15000000"/>
    <n v="5"/>
    <d v="1899-12-30T00:02:00"/>
    <x v="0"/>
    <x v="4"/>
    <x v="7"/>
    <x v="2"/>
    <x v="8"/>
  </r>
  <r>
    <x v="0"/>
    <n v="2"/>
    <x v="10"/>
    <x v="2"/>
    <x v="0"/>
    <x v="2"/>
    <n v="12000000"/>
    <n v="2"/>
    <d v="1899-12-30T00:02:00"/>
    <x v="0"/>
    <x v="7"/>
    <x v="0"/>
    <x v="0"/>
    <x v="5"/>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1"/>
    <n v="6"/>
    <x v="5"/>
    <x v="0"/>
    <x v="0"/>
    <x v="5"/>
    <n v="0"/>
    <n v="4"/>
    <d v="1899-12-30T00:02:00"/>
    <x v="3"/>
    <x v="9"/>
    <x v="7"/>
    <x v="0"/>
    <x v="7"/>
  </r>
  <r>
    <x v="1"/>
    <n v="28"/>
    <x v="8"/>
    <x v="3"/>
    <x v="0"/>
    <x v="5"/>
    <n v="0"/>
    <n v="1"/>
    <d v="1899-12-30T00:02:00"/>
    <x v="3"/>
    <x v="9"/>
    <x v="6"/>
    <x v="0"/>
    <x v="5"/>
  </r>
  <r>
    <x v="1"/>
    <n v="5"/>
    <x v="3"/>
    <x v="2"/>
    <x v="2"/>
    <x v="5"/>
    <n v="0"/>
    <n v="3"/>
    <d v="1899-12-30T00:02:00"/>
    <x v="3"/>
    <x v="9"/>
    <x v="2"/>
    <x v="3"/>
    <x v="4"/>
  </r>
  <r>
    <x v="1"/>
    <n v="4"/>
    <x v="10"/>
    <x v="3"/>
    <x v="4"/>
    <x v="5"/>
    <n v="0"/>
    <n v="4"/>
    <d v="1899-12-30T00:02:00"/>
    <x v="3"/>
    <x v="9"/>
    <x v="3"/>
    <x v="2"/>
    <x v="8"/>
  </r>
  <r>
    <x v="1"/>
    <n v="28"/>
    <x v="10"/>
    <x v="3"/>
    <x v="3"/>
    <x v="5"/>
    <n v="0"/>
    <n v="2"/>
    <d v="1899-12-30T00:02:00"/>
    <x v="3"/>
    <x v="9"/>
    <x v="3"/>
    <x v="1"/>
    <x v="2"/>
  </r>
  <r>
    <x v="1"/>
    <n v="10"/>
    <x v="10"/>
    <x v="0"/>
    <x v="1"/>
    <x v="5"/>
    <n v="0"/>
    <n v="1"/>
    <d v="1899-12-30T00:02:00"/>
    <x v="3"/>
    <x v="9"/>
    <x v="4"/>
    <x v="1"/>
    <x v="1"/>
  </r>
  <r>
    <x v="1"/>
    <n v="30"/>
    <x v="10"/>
    <x v="3"/>
    <x v="1"/>
    <x v="5"/>
    <n v="0"/>
    <n v="2"/>
    <d v="1899-12-30T00:02:00"/>
    <x v="3"/>
    <x v="9"/>
    <x v="0"/>
    <x v="0"/>
    <x v="9"/>
  </r>
  <r>
    <x v="1"/>
    <n v="6"/>
    <x v="5"/>
    <x v="0"/>
    <x v="0"/>
    <x v="5"/>
    <n v="0"/>
    <n v="4"/>
    <d v="1899-12-30T00:02:00"/>
    <x v="3"/>
    <x v="9"/>
    <x v="7"/>
    <x v="0"/>
    <x v="7"/>
  </r>
  <r>
    <x v="1"/>
    <n v="28"/>
    <x v="8"/>
    <x v="3"/>
    <x v="0"/>
    <x v="5"/>
    <n v="0"/>
    <n v="1"/>
    <d v="1899-12-30T00:02:00"/>
    <x v="3"/>
    <x v="9"/>
    <x v="6"/>
    <x v="0"/>
    <x v="5"/>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0"/>
    <n v="11"/>
    <x v="1"/>
    <x v="3"/>
    <x v="2"/>
    <x v="2"/>
    <n v="12000000"/>
    <n v="1"/>
    <d v="1899-12-30T00:02:00"/>
    <x v="0"/>
    <x v="1"/>
    <x v="5"/>
    <x v="1"/>
    <x v="1"/>
  </r>
  <r>
    <x v="0"/>
    <n v="2"/>
    <x v="3"/>
    <x v="0"/>
    <x v="1"/>
    <x v="1"/>
    <n v="15000000"/>
    <n v="1"/>
    <d v="1899-12-30T00:02:00"/>
    <x v="0"/>
    <x v="4"/>
    <x v="0"/>
    <x v="0"/>
    <x v="12"/>
  </r>
  <r>
    <x v="0"/>
    <n v="8"/>
    <x v="3"/>
    <x v="0"/>
    <x v="2"/>
    <x v="1"/>
    <n v="15000000"/>
    <n v="4"/>
    <d v="1899-12-30T00:02:00"/>
    <x v="0"/>
    <x v="5"/>
    <x v="7"/>
    <x v="2"/>
    <x v="8"/>
  </r>
  <r>
    <x v="0"/>
    <n v="17"/>
    <x v="4"/>
    <x v="2"/>
    <x v="1"/>
    <x v="3"/>
    <n v="11000000"/>
    <n v="2"/>
    <d v="1899-12-30T00:02:00"/>
    <x v="2"/>
    <x v="0"/>
    <x v="7"/>
    <x v="0"/>
    <x v="0"/>
  </r>
  <r>
    <x v="0"/>
    <n v="10"/>
    <x v="10"/>
    <x v="2"/>
    <x v="1"/>
    <x v="3"/>
    <n v="20000000"/>
    <n v="1"/>
    <d v="1899-12-30T00:02:00"/>
    <x v="0"/>
    <x v="0"/>
    <x v="6"/>
    <x v="3"/>
    <x v="13"/>
  </r>
  <r>
    <x v="0"/>
    <n v="17"/>
    <x v="10"/>
    <x v="4"/>
    <x v="0"/>
    <x v="0"/>
    <n v="7000000"/>
    <n v="5"/>
    <d v="1899-12-30T00:02:00"/>
    <x v="0"/>
    <x v="8"/>
    <x v="6"/>
    <x v="3"/>
    <x v="4"/>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1"/>
    <n v="2"/>
    <x v="8"/>
    <x v="0"/>
    <x v="2"/>
    <x v="5"/>
    <n v="0"/>
    <n v="1"/>
    <d v="1899-12-30T00:02:00"/>
    <x v="3"/>
    <x v="9"/>
    <x v="1"/>
    <x v="2"/>
    <x v="11"/>
  </r>
  <r>
    <x v="1"/>
    <n v="30"/>
    <x v="2"/>
    <x v="0"/>
    <x v="1"/>
    <x v="5"/>
    <n v="0"/>
    <n v="2"/>
    <d v="1899-12-30T00:02:00"/>
    <x v="3"/>
    <x v="9"/>
    <x v="5"/>
    <x v="1"/>
    <x v="2"/>
  </r>
  <r>
    <x v="1"/>
    <n v="8"/>
    <x v="3"/>
    <x v="3"/>
    <x v="1"/>
    <x v="5"/>
    <n v="0"/>
    <n v="1"/>
    <d v="1899-12-30T00:02:00"/>
    <x v="3"/>
    <x v="9"/>
    <x v="2"/>
    <x v="0"/>
    <x v="9"/>
  </r>
  <r>
    <x v="1"/>
    <n v="20"/>
    <x v="4"/>
    <x v="2"/>
    <x v="0"/>
    <x v="5"/>
    <n v="0"/>
    <n v="2"/>
    <d v="1899-12-30T00:02:00"/>
    <x v="3"/>
    <x v="9"/>
    <x v="3"/>
    <x v="0"/>
    <x v="9"/>
  </r>
  <r>
    <x v="1"/>
    <n v="2"/>
    <x v="8"/>
    <x v="0"/>
    <x v="2"/>
    <x v="5"/>
    <n v="0"/>
    <n v="1"/>
    <d v="1899-12-30T00:02:00"/>
    <x v="3"/>
    <x v="9"/>
    <x v="1"/>
    <x v="2"/>
    <x v="11"/>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0"/>
    <n v="28"/>
    <x v="2"/>
    <x v="2"/>
    <x v="1"/>
    <x v="0"/>
    <n v="19000000"/>
    <n v="4"/>
    <d v="1899-12-30T00:02:00"/>
    <x v="4"/>
    <x v="3"/>
    <x v="5"/>
    <x v="3"/>
    <x v="4"/>
  </r>
  <r>
    <x v="0"/>
    <n v="30"/>
    <x v="2"/>
    <x v="2"/>
    <x v="2"/>
    <x v="2"/>
    <n v="38000000"/>
    <n v="1"/>
    <d v="1899-12-30T00:02:00"/>
    <x v="1"/>
    <x v="4"/>
    <x v="2"/>
    <x v="2"/>
    <x v="8"/>
  </r>
  <r>
    <x v="0"/>
    <n v="11"/>
    <x v="2"/>
    <x v="2"/>
    <x v="2"/>
    <x v="4"/>
    <n v="25000000"/>
    <n v="2"/>
    <d v="1899-12-30T00:02:00"/>
    <x v="0"/>
    <x v="2"/>
    <x v="2"/>
    <x v="1"/>
    <x v="15"/>
  </r>
  <r>
    <x v="0"/>
    <n v="12"/>
    <x v="2"/>
    <x v="2"/>
    <x v="2"/>
    <x v="4"/>
    <n v="25000000"/>
    <n v="5"/>
    <d v="1899-12-30T00:02:00"/>
    <x v="0"/>
    <x v="7"/>
    <x v="2"/>
    <x v="0"/>
    <x v="10"/>
  </r>
  <r>
    <x v="0"/>
    <n v="17"/>
    <x v="2"/>
    <x v="1"/>
    <x v="2"/>
    <x v="2"/>
    <n v="12000000"/>
    <n v="4"/>
    <d v="1899-12-30T00:02:00"/>
    <x v="0"/>
    <x v="4"/>
    <x v="6"/>
    <x v="2"/>
    <x v="8"/>
  </r>
  <r>
    <x v="0"/>
    <n v="29"/>
    <x v="2"/>
    <x v="2"/>
    <x v="1"/>
    <x v="3"/>
    <n v="15000000"/>
    <n v="3"/>
    <d v="1899-12-30T00:02:00"/>
    <x v="0"/>
    <x v="1"/>
    <x v="7"/>
    <x v="0"/>
    <x v="7"/>
  </r>
  <r>
    <x v="0"/>
    <n v="8"/>
    <x v="3"/>
    <x v="1"/>
    <x v="1"/>
    <x v="0"/>
    <n v="7000000"/>
    <n v="1"/>
    <d v="1899-12-30T00:02:00"/>
    <x v="0"/>
    <x v="7"/>
    <x v="6"/>
    <x v="0"/>
    <x v="5"/>
  </r>
  <r>
    <x v="0"/>
    <n v="27"/>
    <x v="3"/>
    <x v="3"/>
    <x v="1"/>
    <x v="0"/>
    <n v="7000000"/>
    <n v="1"/>
    <d v="1899-12-30T00:02:00"/>
    <x v="0"/>
    <x v="0"/>
    <x v="1"/>
    <x v="2"/>
    <x v="8"/>
  </r>
  <r>
    <x v="0"/>
    <n v="2"/>
    <x v="4"/>
    <x v="3"/>
    <x v="1"/>
    <x v="3"/>
    <n v="20000000"/>
    <n v="1"/>
    <d v="1899-12-30T00:02:00"/>
    <x v="2"/>
    <x v="1"/>
    <x v="4"/>
    <x v="1"/>
    <x v="6"/>
  </r>
  <r>
    <x v="0"/>
    <n v="1"/>
    <x v="4"/>
    <x v="1"/>
    <x v="3"/>
    <x v="3"/>
    <n v="20000000"/>
    <n v="1"/>
    <d v="1899-12-30T00:02:00"/>
    <x v="0"/>
    <x v="5"/>
    <x v="7"/>
    <x v="0"/>
    <x v="5"/>
  </r>
  <r>
    <x v="0"/>
    <n v="31"/>
    <x v="10"/>
    <x v="4"/>
    <x v="2"/>
    <x v="1"/>
    <n v="12000000"/>
    <n v="1"/>
    <d v="1899-12-30T00:02:00"/>
    <x v="0"/>
    <x v="0"/>
    <x v="3"/>
    <x v="0"/>
    <x v="7"/>
  </r>
  <r>
    <x v="0"/>
    <n v="30"/>
    <x v="10"/>
    <x v="1"/>
    <x v="1"/>
    <x v="2"/>
    <n v="12000000"/>
    <n v="1"/>
    <d v="1899-12-30T00:02:00"/>
    <x v="0"/>
    <x v="0"/>
    <x v="7"/>
    <x v="0"/>
    <x v="10"/>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1"/>
    <n v="5"/>
    <x v="0"/>
    <x v="2"/>
    <x v="0"/>
    <x v="5"/>
    <n v="0"/>
    <n v="2"/>
    <d v="1899-12-30T00:02:00"/>
    <x v="3"/>
    <x v="9"/>
    <x v="6"/>
    <x v="1"/>
    <x v="6"/>
  </r>
  <r>
    <x v="1"/>
    <n v="22"/>
    <x v="3"/>
    <x v="2"/>
    <x v="0"/>
    <x v="5"/>
    <n v="0"/>
    <n v="1"/>
    <d v="1899-12-30T00:02:00"/>
    <x v="3"/>
    <x v="9"/>
    <x v="5"/>
    <x v="1"/>
    <x v="2"/>
  </r>
  <r>
    <x v="1"/>
    <n v="26"/>
    <x v="3"/>
    <x v="1"/>
    <x v="2"/>
    <x v="5"/>
    <n v="0"/>
    <n v="1"/>
    <d v="1899-12-30T00:02:00"/>
    <x v="3"/>
    <x v="9"/>
    <x v="4"/>
    <x v="0"/>
    <x v="5"/>
  </r>
  <r>
    <x v="1"/>
    <n v="8"/>
    <x v="3"/>
    <x v="2"/>
    <x v="1"/>
    <x v="5"/>
    <n v="0"/>
    <n v="5"/>
    <d v="1899-12-30T00:02:00"/>
    <x v="3"/>
    <x v="9"/>
    <x v="6"/>
    <x v="0"/>
    <x v="10"/>
  </r>
  <r>
    <x v="1"/>
    <n v="17"/>
    <x v="4"/>
    <x v="0"/>
    <x v="2"/>
    <x v="5"/>
    <n v="0"/>
    <n v="4"/>
    <d v="1899-12-30T00:02:00"/>
    <x v="3"/>
    <x v="9"/>
    <x v="6"/>
    <x v="3"/>
    <x v="13"/>
  </r>
  <r>
    <x v="1"/>
    <n v="11"/>
    <x v="10"/>
    <x v="1"/>
    <x v="1"/>
    <x v="5"/>
    <n v="0"/>
    <n v="2"/>
    <d v="1899-12-30T00:02:00"/>
    <x v="3"/>
    <x v="9"/>
    <x v="7"/>
    <x v="1"/>
    <x v="6"/>
  </r>
  <r>
    <x v="1"/>
    <n v="22"/>
    <x v="10"/>
    <x v="0"/>
    <x v="3"/>
    <x v="5"/>
    <n v="0"/>
    <n v="2"/>
    <d v="1899-12-30T00:02:00"/>
    <x v="3"/>
    <x v="9"/>
    <x v="3"/>
    <x v="1"/>
    <x v="15"/>
  </r>
  <r>
    <x v="1"/>
    <n v="1"/>
    <x v="10"/>
    <x v="1"/>
    <x v="1"/>
    <x v="5"/>
    <n v="0"/>
    <n v="3"/>
    <d v="1899-12-30T00:02:00"/>
    <x v="3"/>
    <x v="9"/>
    <x v="0"/>
    <x v="0"/>
    <x v="7"/>
  </r>
  <r>
    <x v="1"/>
    <n v="5"/>
    <x v="0"/>
    <x v="2"/>
    <x v="0"/>
    <x v="5"/>
    <n v="0"/>
    <n v="2"/>
    <d v="1899-12-30T00:02:00"/>
    <x v="3"/>
    <x v="9"/>
    <x v="6"/>
    <x v="1"/>
    <x v="6"/>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0"/>
    <n v="30"/>
    <x v="2"/>
    <x v="5"/>
    <x v="2"/>
    <x v="2"/>
    <n v="12000000"/>
    <n v="5"/>
    <d v="1899-12-30T00:02:10"/>
    <x v="0"/>
    <x v="4"/>
    <x v="2"/>
    <x v="1"/>
    <x v="6"/>
  </r>
  <r>
    <x v="0"/>
    <n v="14"/>
    <x v="2"/>
    <x v="5"/>
    <x v="2"/>
    <x v="0"/>
    <n v="7000000"/>
    <n v="1"/>
    <d v="1899-12-30T00:02:10"/>
    <x v="0"/>
    <x v="5"/>
    <x v="1"/>
    <x v="1"/>
    <x v="2"/>
  </r>
  <r>
    <x v="0"/>
    <n v="26"/>
    <x v="2"/>
    <x v="4"/>
    <x v="1"/>
    <x v="3"/>
    <n v="20000000"/>
    <n v="2"/>
    <d v="1899-12-30T00:02:10"/>
    <x v="0"/>
    <x v="7"/>
    <x v="7"/>
    <x v="0"/>
    <x v="10"/>
  </r>
  <r>
    <x v="0"/>
    <n v="5"/>
    <x v="3"/>
    <x v="1"/>
    <x v="2"/>
    <x v="0"/>
    <n v="19000000"/>
    <n v="1"/>
    <d v="1899-12-30T00:02:10"/>
    <x v="1"/>
    <x v="4"/>
    <x v="5"/>
    <x v="0"/>
    <x v="10"/>
  </r>
  <r>
    <x v="0"/>
    <n v="29"/>
    <x v="3"/>
    <x v="1"/>
    <x v="1"/>
    <x v="1"/>
    <n v="15000000"/>
    <n v="3"/>
    <d v="1899-12-30T00:02:10"/>
    <x v="0"/>
    <x v="8"/>
    <x v="4"/>
    <x v="3"/>
    <x v="13"/>
  </r>
  <r>
    <x v="0"/>
    <n v="2"/>
    <x v="4"/>
    <x v="0"/>
    <x v="2"/>
    <x v="3"/>
    <n v="20000000"/>
    <n v="4"/>
    <d v="1899-12-30T00:02:10"/>
    <x v="2"/>
    <x v="5"/>
    <x v="4"/>
    <x v="1"/>
    <x v="6"/>
  </r>
  <r>
    <x v="0"/>
    <n v="25"/>
    <x v="4"/>
    <x v="0"/>
    <x v="0"/>
    <x v="4"/>
    <n v="25000000"/>
    <n v="4"/>
    <d v="1899-12-30T00:02:10"/>
    <x v="0"/>
    <x v="0"/>
    <x v="6"/>
    <x v="0"/>
    <x v="7"/>
  </r>
  <r>
    <x v="0"/>
    <n v="17"/>
    <x v="4"/>
    <x v="2"/>
    <x v="0"/>
    <x v="4"/>
    <n v="21000000"/>
    <n v="1"/>
    <d v="1899-12-30T00:02:10"/>
    <x v="0"/>
    <x v="8"/>
    <x v="7"/>
    <x v="3"/>
    <x v="4"/>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1"/>
    <n v="30"/>
    <x v="4"/>
    <x v="0"/>
    <x v="3"/>
    <x v="5"/>
    <n v="0"/>
    <n v="2"/>
    <d v="1899-12-30T00:02:10"/>
    <x v="3"/>
    <x v="9"/>
    <x v="3"/>
    <x v="3"/>
    <x v="4"/>
  </r>
  <r>
    <x v="1"/>
    <n v="11"/>
    <x v="4"/>
    <x v="3"/>
    <x v="1"/>
    <x v="5"/>
    <n v="0"/>
    <n v="3"/>
    <d v="1899-12-30T00:02:10"/>
    <x v="3"/>
    <x v="9"/>
    <x v="0"/>
    <x v="1"/>
    <x v="6"/>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0"/>
    <n v="12"/>
    <x v="1"/>
    <x v="1"/>
    <x v="2"/>
    <x v="2"/>
    <n v="10000000"/>
    <n v="4"/>
    <d v="1899-12-30T00:02:12"/>
    <x v="0"/>
    <x v="1"/>
    <x v="4"/>
    <x v="3"/>
    <x v="4"/>
  </r>
  <r>
    <x v="0"/>
    <n v="28"/>
    <x v="2"/>
    <x v="5"/>
    <x v="4"/>
    <x v="4"/>
    <n v="21000000"/>
    <n v="3"/>
    <d v="1899-12-30T00:02:12"/>
    <x v="0"/>
    <x v="7"/>
    <x v="4"/>
    <x v="1"/>
    <x v="15"/>
  </r>
  <r>
    <x v="0"/>
    <n v="2"/>
    <x v="2"/>
    <x v="0"/>
    <x v="3"/>
    <x v="2"/>
    <n v="10000000"/>
    <n v="2"/>
    <d v="1899-12-30T00:02:12"/>
    <x v="0"/>
    <x v="5"/>
    <x v="2"/>
    <x v="1"/>
    <x v="2"/>
  </r>
  <r>
    <x v="0"/>
    <n v="21"/>
    <x v="2"/>
    <x v="2"/>
    <x v="1"/>
    <x v="2"/>
    <n v="12000000"/>
    <n v="3"/>
    <d v="1899-12-30T00:02:12"/>
    <x v="0"/>
    <x v="0"/>
    <x v="2"/>
    <x v="2"/>
    <x v="8"/>
  </r>
  <r>
    <x v="0"/>
    <n v="30"/>
    <x v="2"/>
    <x v="1"/>
    <x v="0"/>
    <x v="3"/>
    <n v="15000000"/>
    <n v="1"/>
    <d v="1899-12-30T00:02:12"/>
    <x v="0"/>
    <x v="4"/>
    <x v="1"/>
    <x v="1"/>
    <x v="15"/>
  </r>
  <r>
    <x v="0"/>
    <n v="24"/>
    <x v="2"/>
    <x v="5"/>
    <x v="2"/>
    <x v="4"/>
    <n v="25000000"/>
    <n v="2"/>
    <d v="1899-12-30T00:02:12"/>
    <x v="0"/>
    <x v="0"/>
    <x v="3"/>
    <x v="3"/>
    <x v="4"/>
  </r>
  <r>
    <x v="0"/>
    <n v="24"/>
    <x v="2"/>
    <x v="3"/>
    <x v="1"/>
    <x v="1"/>
    <n v="15000000"/>
    <n v="2"/>
    <d v="1899-12-30T00:02:12"/>
    <x v="0"/>
    <x v="6"/>
    <x v="4"/>
    <x v="1"/>
    <x v="1"/>
  </r>
  <r>
    <x v="0"/>
    <n v="30"/>
    <x v="2"/>
    <x v="4"/>
    <x v="0"/>
    <x v="2"/>
    <n v="12000000"/>
    <n v="2"/>
    <d v="1899-12-30T00:02:12"/>
    <x v="0"/>
    <x v="5"/>
    <x v="0"/>
    <x v="2"/>
    <x v="11"/>
  </r>
  <r>
    <x v="0"/>
    <n v="22"/>
    <x v="2"/>
    <x v="4"/>
    <x v="0"/>
    <x v="1"/>
    <n v="12000000"/>
    <n v="2"/>
    <d v="1899-12-30T00:02:12"/>
    <x v="0"/>
    <x v="0"/>
    <x v="5"/>
    <x v="2"/>
    <x v="8"/>
  </r>
  <r>
    <x v="0"/>
    <n v="26"/>
    <x v="2"/>
    <x v="2"/>
    <x v="4"/>
    <x v="4"/>
    <n v="25000000"/>
    <n v="3"/>
    <d v="1899-12-30T00:02:12"/>
    <x v="0"/>
    <x v="7"/>
    <x v="6"/>
    <x v="1"/>
    <x v="6"/>
  </r>
  <r>
    <x v="0"/>
    <n v="29"/>
    <x v="3"/>
    <x v="2"/>
    <x v="2"/>
    <x v="0"/>
    <n v="19000000"/>
    <n v="4"/>
    <d v="1899-12-30T00:02:12"/>
    <x v="1"/>
    <x v="3"/>
    <x v="6"/>
    <x v="0"/>
    <x v="7"/>
  </r>
  <r>
    <x v="0"/>
    <n v="20"/>
    <x v="3"/>
    <x v="1"/>
    <x v="2"/>
    <x v="2"/>
    <n v="38000000"/>
    <n v="5"/>
    <d v="1899-12-30T00:02:12"/>
    <x v="1"/>
    <x v="0"/>
    <x v="7"/>
    <x v="0"/>
    <x v="5"/>
  </r>
  <r>
    <x v="0"/>
    <n v="4"/>
    <x v="3"/>
    <x v="2"/>
    <x v="0"/>
    <x v="4"/>
    <n v="20000000"/>
    <n v="2"/>
    <d v="1899-12-30T00:02:12"/>
    <x v="0"/>
    <x v="1"/>
    <x v="2"/>
    <x v="0"/>
    <x v="10"/>
  </r>
  <r>
    <x v="0"/>
    <n v="20"/>
    <x v="3"/>
    <x v="2"/>
    <x v="1"/>
    <x v="2"/>
    <n v="12000000"/>
    <n v="2"/>
    <d v="1899-12-30T00:02:12"/>
    <x v="0"/>
    <x v="0"/>
    <x v="2"/>
    <x v="3"/>
    <x v="13"/>
  </r>
  <r>
    <x v="0"/>
    <n v="22"/>
    <x v="3"/>
    <x v="4"/>
    <x v="2"/>
    <x v="0"/>
    <n v="7000000"/>
    <n v="1"/>
    <d v="1899-12-30T00:02:12"/>
    <x v="0"/>
    <x v="4"/>
    <x v="3"/>
    <x v="0"/>
    <x v="5"/>
  </r>
  <r>
    <x v="0"/>
    <n v="30"/>
    <x v="3"/>
    <x v="3"/>
    <x v="1"/>
    <x v="1"/>
    <n v="15000000"/>
    <n v="2"/>
    <d v="1899-12-30T00:02:12"/>
    <x v="0"/>
    <x v="7"/>
    <x v="6"/>
    <x v="1"/>
    <x v="1"/>
  </r>
  <r>
    <x v="0"/>
    <n v="3"/>
    <x v="3"/>
    <x v="0"/>
    <x v="0"/>
    <x v="1"/>
    <n v="15000000"/>
    <n v="2"/>
    <d v="1899-12-30T00:02:12"/>
    <x v="0"/>
    <x v="0"/>
    <x v="1"/>
    <x v="0"/>
    <x v="9"/>
  </r>
  <r>
    <x v="0"/>
    <n v="8"/>
    <x v="3"/>
    <x v="0"/>
    <x v="3"/>
    <x v="3"/>
    <n v="20000000"/>
    <n v="3"/>
    <d v="1899-12-30T00:02:12"/>
    <x v="0"/>
    <x v="2"/>
    <x v="6"/>
    <x v="2"/>
    <x v="8"/>
  </r>
  <r>
    <x v="0"/>
    <n v="23"/>
    <x v="3"/>
    <x v="0"/>
    <x v="2"/>
    <x v="1"/>
    <n v="15000000"/>
    <n v="1"/>
    <d v="1899-12-30T00:02:12"/>
    <x v="0"/>
    <x v="2"/>
    <x v="7"/>
    <x v="3"/>
    <x v="13"/>
  </r>
  <r>
    <x v="0"/>
    <n v="22"/>
    <x v="4"/>
    <x v="2"/>
    <x v="2"/>
    <x v="2"/>
    <n v="38000000"/>
    <n v="3"/>
    <d v="1899-12-30T00:02:12"/>
    <x v="1"/>
    <x v="8"/>
    <x v="1"/>
    <x v="0"/>
    <x v="9"/>
  </r>
  <r>
    <x v="0"/>
    <n v="3"/>
    <x v="4"/>
    <x v="2"/>
    <x v="1"/>
    <x v="0"/>
    <n v="19000000"/>
    <n v="3"/>
    <d v="1899-12-30T00:02:12"/>
    <x v="1"/>
    <x v="2"/>
    <x v="6"/>
    <x v="1"/>
    <x v="2"/>
  </r>
  <r>
    <x v="0"/>
    <n v="6"/>
    <x v="4"/>
    <x v="2"/>
    <x v="1"/>
    <x v="1"/>
    <n v="11000000"/>
    <n v="5"/>
    <d v="1899-12-30T00:02:12"/>
    <x v="0"/>
    <x v="6"/>
    <x v="2"/>
    <x v="3"/>
    <x v="13"/>
  </r>
  <r>
    <x v="0"/>
    <n v="22"/>
    <x v="4"/>
    <x v="2"/>
    <x v="2"/>
    <x v="4"/>
    <n v="25000000"/>
    <n v="2"/>
    <d v="1899-12-30T00:02:12"/>
    <x v="0"/>
    <x v="4"/>
    <x v="5"/>
    <x v="0"/>
    <x v="5"/>
  </r>
  <r>
    <x v="0"/>
    <n v="22"/>
    <x v="4"/>
    <x v="4"/>
    <x v="0"/>
    <x v="2"/>
    <n v="12000000"/>
    <n v="1"/>
    <d v="1899-12-30T00:02:12"/>
    <x v="0"/>
    <x v="8"/>
    <x v="3"/>
    <x v="0"/>
    <x v="9"/>
  </r>
  <r>
    <x v="0"/>
    <n v="11"/>
    <x v="4"/>
    <x v="1"/>
    <x v="2"/>
    <x v="1"/>
    <n v="15000000"/>
    <n v="1"/>
    <d v="1899-12-30T00:02:12"/>
    <x v="0"/>
    <x v="6"/>
    <x v="6"/>
    <x v="0"/>
    <x v="5"/>
  </r>
  <r>
    <x v="0"/>
    <n v="17"/>
    <x v="4"/>
    <x v="0"/>
    <x v="1"/>
    <x v="1"/>
    <n v="15000000"/>
    <n v="5"/>
    <d v="1899-12-30T00:02:12"/>
    <x v="0"/>
    <x v="4"/>
    <x v="6"/>
    <x v="1"/>
    <x v="1"/>
  </r>
  <r>
    <x v="0"/>
    <n v="1"/>
    <x v="4"/>
    <x v="1"/>
    <x v="2"/>
    <x v="3"/>
    <n v="20000000"/>
    <n v="1"/>
    <d v="1899-12-30T00:02:12"/>
    <x v="0"/>
    <x v="2"/>
    <x v="7"/>
    <x v="1"/>
    <x v="6"/>
  </r>
  <r>
    <x v="0"/>
    <n v="11"/>
    <x v="10"/>
    <x v="4"/>
    <x v="1"/>
    <x v="3"/>
    <n v="20000000"/>
    <n v="3"/>
    <d v="1899-12-30T00:02:12"/>
    <x v="2"/>
    <x v="8"/>
    <x v="3"/>
    <x v="2"/>
    <x v="11"/>
  </r>
  <r>
    <x v="0"/>
    <n v="25"/>
    <x v="10"/>
    <x v="4"/>
    <x v="2"/>
    <x v="2"/>
    <n v="12000000"/>
    <n v="2"/>
    <d v="1899-12-30T00:02:12"/>
    <x v="0"/>
    <x v="2"/>
    <x v="3"/>
    <x v="2"/>
    <x v="11"/>
  </r>
  <r>
    <x v="0"/>
    <n v="24"/>
    <x v="10"/>
    <x v="0"/>
    <x v="0"/>
    <x v="1"/>
    <n v="15000000"/>
    <n v="3"/>
    <d v="1899-12-30T00:02:12"/>
    <x v="0"/>
    <x v="0"/>
    <x v="5"/>
    <x v="3"/>
    <x v="13"/>
  </r>
  <r>
    <x v="0"/>
    <n v="31"/>
    <x v="10"/>
    <x v="0"/>
    <x v="1"/>
    <x v="2"/>
    <n v="12000000"/>
    <n v="2"/>
    <d v="1899-12-30T00:02:12"/>
    <x v="0"/>
    <x v="1"/>
    <x v="7"/>
    <x v="1"/>
    <x v="1"/>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1"/>
    <n v="14"/>
    <x v="7"/>
    <x v="3"/>
    <x v="2"/>
    <x v="5"/>
    <n v="0"/>
    <n v="4"/>
    <d v="1899-12-30T00:02:12"/>
    <x v="3"/>
    <x v="9"/>
    <x v="3"/>
    <x v="1"/>
    <x v="6"/>
  </r>
  <r>
    <x v="1"/>
    <n v="3"/>
    <x v="8"/>
    <x v="0"/>
    <x v="3"/>
    <x v="5"/>
    <n v="0"/>
    <n v="1"/>
    <d v="1899-12-30T00:02:12"/>
    <x v="3"/>
    <x v="9"/>
    <x v="7"/>
    <x v="1"/>
    <x v="1"/>
  </r>
  <r>
    <x v="1"/>
    <n v="8"/>
    <x v="9"/>
    <x v="0"/>
    <x v="3"/>
    <x v="5"/>
    <n v="0"/>
    <n v="2"/>
    <d v="1899-12-30T00:02:12"/>
    <x v="3"/>
    <x v="9"/>
    <x v="3"/>
    <x v="0"/>
    <x v="10"/>
  </r>
  <r>
    <x v="1"/>
    <n v="30"/>
    <x v="1"/>
    <x v="2"/>
    <x v="2"/>
    <x v="5"/>
    <n v="0"/>
    <n v="1"/>
    <d v="1899-12-30T00:02:12"/>
    <x v="3"/>
    <x v="9"/>
    <x v="5"/>
    <x v="0"/>
    <x v="7"/>
  </r>
  <r>
    <x v="1"/>
    <n v="27"/>
    <x v="2"/>
    <x v="0"/>
    <x v="2"/>
    <x v="5"/>
    <n v="0"/>
    <n v="3"/>
    <d v="1899-12-30T00:02:12"/>
    <x v="3"/>
    <x v="9"/>
    <x v="5"/>
    <x v="3"/>
    <x v="13"/>
  </r>
  <r>
    <x v="1"/>
    <n v="16"/>
    <x v="2"/>
    <x v="1"/>
    <x v="3"/>
    <x v="5"/>
    <n v="0"/>
    <n v="5"/>
    <d v="1899-12-30T00:02:12"/>
    <x v="3"/>
    <x v="9"/>
    <x v="1"/>
    <x v="0"/>
    <x v="10"/>
  </r>
  <r>
    <x v="1"/>
    <n v="9"/>
    <x v="3"/>
    <x v="1"/>
    <x v="1"/>
    <x v="5"/>
    <n v="0"/>
    <n v="5"/>
    <d v="1899-12-30T00:02:12"/>
    <x v="3"/>
    <x v="9"/>
    <x v="2"/>
    <x v="2"/>
    <x v="11"/>
  </r>
  <r>
    <x v="1"/>
    <n v="9"/>
    <x v="3"/>
    <x v="3"/>
    <x v="1"/>
    <x v="5"/>
    <n v="0"/>
    <n v="2"/>
    <d v="1899-12-30T00:02:12"/>
    <x v="3"/>
    <x v="9"/>
    <x v="2"/>
    <x v="0"/>
    <x v="7"/>
  </r>
  <r>
    <x v="1"/>
    <n v="29"/>
    <x v="3"/>
    <x v="0"/>
    <x v="0"/>
    <x v="5"/>
    <n v="0"/>
    <n v="4"/>
    <d v="1899-12-30T00:02:12"/>
    <x v="3"/>
    <x v="9"/>
    <x v="5"/>
    <x v="0"/>
    <x v="5"/>
  </r>
  <r>
    <x v="1"/>
    <n v="29"/>
    <x v="3"/>
    <x v="5"/>
    <x v="2"/>
    <x v="5"/>
    <n v="0"/>
    <n v="2"/>
    <d v="1899-12-30T00:02:12"/>
    <x v="3"/>
    <x v="9"/>
    <x v="5"/>
    <x v="0"/>
    <x v="12"/>
  </r>
  <r>
    <x v="1"/>
    <n v="21"/>
    <x v="4"/>
    <x v="4"/>
    <x v="2"/>
    <x v="5"/>
    <n v="0"/>
    <n v="2"/>
    <d v="1899-12-30T00:02:12"/>
    <x v="3"/>
    <x v="9"/>
    <x v="5"/>
    <x v="2"/>
    <x v="8"/>
  </r>
  <r>
    <x v="1"/>
    <n v="21"/>
    <x v="10"/>
    <x v="0"/>
    <x v="2"/>
    <x v="5"/>
    <n v="0"/>
    <n v="1"/>
    <d v="1899-12-30T00:02:12"/>
    <x v="3"/>
    <x v="9"/>
    <x v="5"/>
    <x v="0"/>
    <x v="7"/>
  </r>
  <r>
    <x v="1"/>
    <n v="14"/>
    <x v="7"/>
    <x v="3"/>
    <x v="2"/>
    <x v="5"/>
    <n v="0"/>
    <n v="4"/>
    <d v="1899-12-30T00:02:12"/>
    <x v="3"/>
    <x v="9"/>
    <x v="3"/>
    <x v="1"/>
    <x v="6"/>
  </r>
  <r>
    <x v="1"/>
    <n v="3"/>
    <x v="8"/>
    <x v="0"/>
    <x v="3"/>
    <x v="5"/>
    <n v="0"/>
    <n v="1"/>
    <d v="1899-12-30T00:02:12"/>
    <x v="3"/>
    <x v="9"/>
    <x v="7"/>
    <x v="1"/>
    <x v="1"/>
  </r>
  <r>
    <x v="1"/>
    <n v="8"/>
    <x v="9"/>
    <x v="0"/>
    <x v="3"/>
    <x v="5"/>
    <n v="0"/>
    <n v="2"/>
    <d v="1899-12-30T00:02:12"/>
    <x v="3"/>
    <x v="9"/>
    <x v="3"/>
    <x v="0"/>
    <x v="10"/>
  </r>
  <r>
    <x v="0"/>
    <n v="11"/>
    <x v="5"/>
    <x v="3"/>
    <x v="4"/>
    <x v="1"/>
    <n v="15000000"/>
    <n v="2"/>
    <d v="1899-12-30T00:02:18"/>
    <x v="0"/>
    <x v="0"/>
    <x v="7"/>
    <x v="2"/>
    <x v="8"/>
  </r>
  <r>
    <x v="0"/>
    <n v="30"/>
    <x v="2"/>
    <x v="4"/>
    <x v="2"/>
    <x v="4"/>
    <n v="25000000"/>
    <n v="2"/>
    <d v="1899-12-30T00:02:18"/>
    <x v="0"/>
    <x v="4"/>
    <x v="2"/>
    <x v="1"/>
    <x v="2"/>
  </r>
  <r>
    <x v="0"/>
    <n v="1"/>
    <x v="3"/>
    <x v="4"/>
    <x v="2"/>
    <x v="3"/>
    <n v="11000000"/>
    <n v="2"/>
    <d v="1899-12-30T00:02:18"/>
    <x v="2"/>
    <x v="3"/>
    <x v="7"/>
    <x v="0"/>
    <x v="10"/>
  </r>
  <r>
    <x v="0"/>
    <n v="28"/>
    <x v="3"/>
    <x v="4"/>
    <x v="2"/>
    <x v="2"/>
    <n v="12000000"/>
    <n v="1"/>
    <d v="1899-12-30T00:02:18"/>
    <x v="0"/>
    <x v="8"/>
    <x v="2"/>
    <x v="0"/>
    <x v="9"/>
  </r>
  <r>
    <x v="0"/>
    <n v="4"/>
    <x v="4"/>
    <x v="0"/>
    <x v="2"/>
    <x v="2"/>
    <n v="12000000"/>
    <n v="5"/>
    <d v="1899-12-30T00:02:18"/>
    <x v="0"/>
    <x v="5"/>
    <x v="7"/>
    <x v="0"/>
    <x v="0"/>
  </r>
  <r>
    <x v="0"/>
    <n v="19"/>
    <x v="4"/>
    <x v="4"/>
    <x v="2"/>
    <x v="4"/>
    <n v="21000000"/>
    <n v="1"/>
    <d v="1899-12-30T00:02:18"/>
    <x v="0"/>
    <x v="4"/>
    <x v="3"/>
    <x v="1"/>
    <x v="6"/>
  </r>
  <r>
    <x v="0"/>
    <n v="8"/>
    <x v="4"/>
    <x v="0"/>
    <x v="0"/>
    <x v="3"/>
    <n v="20000000"/>
    <n v="1"/>
    <d v="1899-12-30T00:02:18"/>
    <x v="0"/>
    <x v="7"/>
    <x v="6"/>
    <x v="3"/>
    <x v="4"/>
  </r>
  <r>
    <x v="0"/>
    <n v="13"/>
    <x v="10"/>
    <x v="2"/>
    <x v="2"/>
    <x v="0"/>
    <n v="19000000"/>
    <n v="3"/>
    <d v="1899-12-30T00:02:18"/>
    <x v="1"/>
    <x v="0"/>
    <x v="1"/>
    <x v="3"/>
    <x v="4"/>
  </r>
  <r>
    <x v="0"/>
    <n v="16"/>
    <x v="10"/>
    <x v="0"/>
    <x v="0"/>
    <x v="1"/>
    <n v="15000000"/>
    <n v="3"/>
    <d v="1899-12-30T00:02:18"/>
    <x v="0"/>
    <x v="8"/>
    <x v="4"/>
    <x v="0"/>
    <x v="0"/>
  </r>
  <r>
    <x v="0"/>
    <n v="11"/>
    <x v="5"/>
    <x v="3"/>
    <x v="4"/>
    <x v="1"/>
    <n v="15000000"/>
    <n v="2"/>
    <d v="1899-12-30T00:02:18"/>
    <x v="0"/>
    <x v="0"/>
    <x v="7"/>
    <x v="2"/>
    <x v="8"/>
  </r>
  <r>
    <x v="1"/>
    <n v="11"/>
    <x v="5"/>
    <x v="5"/>
    <x v="2"/>
    <x v="5"/>
    <n v="0"/>
    <n v="4"/>
    <d v="1899-12-30T00:02:18"/>
    <x v="3"/>
    <x v="9"/>
    <x v="3"/>
    <x v="0"/>
    <x v="10"/>
  </r>
  <r>
    <x v="1"/>
    <n v="12"/>
    <x v="7"/>
    <x v="0"/>
    <x v="4"/>
    <x v="5"/>
    <n v="0"/>
    <n v="4"/>
    <d v="1899-12-30T00:02:18"/>
    <x v="3"/>
    <x v="9"/>
    <x v="0"/>
    <x v="1"/>
    <x v="6"/>
  </r>
  <r>
    <x v="1"/>
    <n v="30"/>
    <x v="8"/>
    <x v="1"/>
    <x v="2"/>
    <x v="5"/>
    <n v="0"/>
    <n v="3"/>
    <d v="1899-12-30T00:02:18"/>
    <x v="3"/>
    <x v="9"/>
    <x v="5"/>
    <x v="2"/>
    <x v="11"/>
  </r>
  <r>
    <x v="1"/>
    <n v="6"/>
    <x v="10"/>
    <x v="1"/>
    <x v="2"/>
    <x v="5"/>
    <n v="0"/>
    <n v="2"/>
    <d v="1899-12-30T00:02:18"/>
    <x v="3"/>
    <x v="9"/>
    <x v="6"/>
    <x v="1"/>
    <x v="14"/>
  </r>
  <r>
    <x v="1"/>
    <n v="11"/>
    <x v="5"/>
    <x v="5"/>
    <x v="2"/>
    <x v="5"/>
    <n v="0"/>
    <n v="4"/>
    <d v="1899-12-30T00:02:18"/>
    <x v="3"/>
    <x v="9"/>
    <x v="3"/>
    <x v="0"/>
    <x v="10"/>
  </r>
  <r>
    <x v="1"/>
    <n v="12"/>
    <x v="7"/>
    <x v="0"/>
    <x v="4"/>
    <x v="5"/>
    <n v="0"/>
    <n v="4"/>
    <d v="1899-12-30T00:02:18"/>
    <x v="3"/>
    <x v="9"/>
    <x v="0"/>
    <x v="1"/>
    <x v="6"/>
  </r>
  <r>
    <x v="1"/>
    <n v="30"/>
    <x v="8"/>
    <x v="1"/>
    <x v="2"/>
    <x v="5"/>
    <n v="0"/>
    <n v="3"/>
    <d v="1899-12-30T00:02:18"/>
    <x v="3"/>
    <x v="9"/>
    <x v="5"/>
    <x v="2"/>
    <x v="11"/>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0"/>
    <n v="10"/>
    <x v="2"/>
    <x v="2"/>
    <x v="2"/>
    <x v="0"/>
    <n v="19000000"/>
    <n v="3"/>
    <d v="1899-12-30T00:02:25"/>
    <x v="1"/>
    <x v="7"/>
    <x v="1"/>
    <x v="1"/>
    <x v="6"/>
  </r>
  <r>
    <x v="0"/>
    <n v="14"/>
    <x v="2"/>
    <x v="3"/>
    <x v="0"/>
    <x v="1"/>
    <n v="11000000"/>
    <n v="2"/>
    <d v="1899-12-30T00:02:25"/>
    <x v="0"/>
    <x v="2"/>
    <x v="3"/>
    <x v="0"/>
    <x v="12"/>
  </r>
  <r>
    <x v="0"/>
    <n v="1"/>
    <x v="3"/>
    <x v="2"/>
    <x v="1"/>
    <x v="0"/>
    <n v="19000000"/>
    <n v="1"/>
    <d v="1899-12-30T00:02:25"/>
    <x v="1"/>
    <x v="4"/>
    <x v="2"/>
    <x v="1"/>
    <x v="14"/>
  </r>
  <r>
    <x v="0"/>
    <n v="11"/>
    <x v="3"/>
    <x v="0"/>
    <x v="1"/>
    <x v="4"/>
    <n v="21000000"/>
    <n v="1"/>
    <d v="1899-12-30T00:02:25"/>
    <x v="0"/>
    <x v="0"/>
    <x v="2"/>
    <x v="0"/>
    <x v="12"/>
  </r>
  <r>
    <x v="0"/>
    <n v="15"/>
    <x v="3"/>
    <x v="0"/>
    <x v="2"/>
    <x v="2"/>
    <n v="10000000"/>
    <n v="4"/>
    <d v="1899-12-30T00:02:25"/>
    <x v="0"/>
    <x v="5"/>
    <x v="7"/>
    <x v="3"/>
    <x v="13"/>
  </r>
  <r>
    <x v="0"/>
    <n v="29"/>
    <x v="3"/>
    <x v="0"/>
    <x v="2"/>
    <x v="1"/>
    <n v="15000000"/>
    <n v="1"/>
    <d v="1899-12-30T00:02:25"/>
    <x v="0"/>
    <x v="4"/>
    <x v="0"/>
    <x v="0"/>
    <x v="12"/>
  </r>
  <r>
    <x v="0"/>
    <n v="8"/>
    <x v="3"/>
    <x v="2"/>
    <x v="2"/>
    <x v="2"/>
    <n v="12000000"/>
    <n v="5"/>
    <d v="1899-12-30T00:02:25"/>
    <x v="0"/>
    <x v="6"/>
    <x v="1"/>
    <x v="1"/>
    <x v="6"/>
  </r>
  <r>
    <x v="0"/>
    <n v="8"/>
    <x v="3"/>
    <x v="3"/>
    <x v="0"/>
    <x v="4"/>
    <n v="25000000"/>
    <n v="3"/>
    <d v="1899-12-30T00:02:25"/>
    <x v="0"/>
    <x v="4"/>
    <x v="6"/>
    <x v="1"/>
    <x v="6"/>
  </r>
  <r>
    <x v="0"/>
    <n v="10"/>
    <x v="4"/>
    <x v="3"/>
    <x v="1"/>
    <x v="0"/>
    <n v="7000000"/>
    <n v="6"/>
    <d v="1899-12-30T00:02:25"/>
    <x v="0"/>
    <x v="0"/>
    <x v="5"/>
    <x v="2"/>
    <x v="11"/>
  </r>
  <r>
    <x v="0"/>
    <n v="11"/>
    <x v="4"/>
    <x v="1"/>
    <x v="1"/>
    <x v="3"/>
    <n v="20000000"/>
    <n v="2"/>
    <d v="1899-12-30T00:02:25"/>
    <x v="0"/>
    <x v="5"/>
    <x v="3"/>
    <x v="1"/>
    <x v="2"/>
  </r>
  <r>
    <x v="0"/>
    <n v="22"/>
    <x v="4"/>
    <x v="5"/>
    <x v="0"/>
    <x v="2"/>
    <n v="12000000"/>
    <n v="2"/>
    <d v="1899-12-30T00:02:25"/>
    <x v="0"/>
    <x v="7"/>
    <x v="3"/>
    <x v="1"/>
    <x v="1"/>
  </r>
  <r>
    <x v="0"/>
    <n v="18"/>
    <x v="4"/>
    <x v="2"/>
    <x v="4"/>
    <x v="4"/>
    <n v="25000000"/>
    <n v="4"/>
    <d v="1899-12-30T00:02:25"/>
    <x v="0"/>
    <x v="0"/>
    <x v="5"/>
    <x v="2"/>
    <x v="8"/>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1"/>
    <n v="12"/>
    <x v="8"/>
    <x v="0"/>
    <x v="1"/>
    <x v="5"/>
    <n v="0"/>
    <n v="2"/>
    <d v="1899-12-30T00:02:25"/>
    <x v="3"/>
    <x v="9"/>
    <x v="5"/>
    <x v="3"/>
    <x v="13"/>
  </r>
  <r>
    <x v="1"/>
    <n v="14"/>
    <x v="9"/>
    <x v="0"/>
    <x v="2"/>
    <x v="5"/>
    <n v="0"/>
    <n v="1"/>
    <d v="1899-12-30T00:02:25"/>
    <x v="3"/>
    <x v="9"/>
    <x v="7"/>
    <x v="1"/>
    <x v="2"/>
  </r>
  <r>
    <x v="1"/>
    <n v="15"/>
    <x v="1"/>
    <x v="0"/>
    <x v="1"/>
    <x v="5"/>
    <n v="0"/>
    <n v="2"/>
    <d v="1899-12-30T00:02:25"/>
    <x v="3"/>
    <x v="9"/>
    <x v="4"/>
    <x v="0"/>
    <x v="9"/>
  </r>
  <r>
    <x v="1"/>
    <n v="20"/>
    <x v="2"/>
    <x v="4"/>
    <x v="1"/>
    <x v="5"/>
    <n v="0"/>
    <n v="1"/>
    <d v="1899-12-30T00:02:25"/>
    <x v="3"/>
    <x v="9"/>
    <x v="1"/>
    <x v="2"/>
    <x v="8"/>
  </r>
  <r>
    <x v="1"/>
    <n v="2"/>
    <x v="3"/>
    <x v="0"/>
    <x v="1"/>
    <x v="5"/>
    <n v="0"/>
    <n v="2"/>
    <d v="1899-12-30T00:02:25"/>
    <x v="3"/>
    <x v="9"/>
    <x v="2"/>
    <x v="1"/>
    <x v="15"/>
  </r>
  <r>
    <x v="1"/>
    <n v="21"/>
    <x v="3"/>
    <x v="2"/>
    <x v="2"/>
    <x v="5"/>
    <n v="0"/>
    <n v="3"/>
    <d v="1899-12-30T00:02:25"/>
    <x v="3"/>
    <x v="9"/>
    <x v="2"/>
    <x v="0"/>
    <x v="9"/>
  </r>
  <r>
    <x v="1"/>
    <n v="23"/>
    <x v="3"/>
    <x v="4"/>
    <x v="2"/>
    <x v="5"/>
    <n v="0"/>
    <n v="3"/>
    <d v="1899-12-30T00:02:25"/>
    <x v="3"/>
    <x v="9"/>
    <x v="6"/>
    <x v="3"/>
    <x v="13"/>
  </r>
  <r>
    <x v="1"/>
    <n v="14"/>
    <x v="4"/>
    <x v="0"/>
    <x v="2"/>
    <x v="5"/>
    <n v="0"/>
    <n v="2"/>
    <d v="1899-12-30T00:02:25"/>
    <x v="3"/>
    <x v="9"/>
    <x v="5"/>
    <x v="1"/>
    <x v="6"/>
  </r>
  <r>
    <x v="1"/>
    <n v="16"/>
    <x v="4"/>
    <x v="3"/>
    <x v="2"/>
    <x v="5"/>
    <n v="0"/>
    <n v="3"/>
    <d v="1899-12-30T00:02:25"/>
    <x v="3"/>
    <x v="9"/>
    <x v="5"/>
    <x v="2"/>
    <x v="11"/>
  </r>
  <r>
    <x v="1"/>
    <n v="12"/>
    <x v="8"/>
    <x v="0"/>
    <x v="1"/>
    <x v="5"/>
    <n v="0"/>
    <n v="2"/>
    <d v="1899-12-30T00:02:25"/>
    <x v="3"/>
    <x v="9"/>
    <x v="5"/>
    <x v="3"/>
    <x v="13"/>
  </r>
  <r>
    <x v="1"/>
    <n v="14"/>
    <x v="9"/>
    <x v="0"/>
    <x v="2"/>
    <x v="5"/>
    <n v="0"/>
    <n v="1"/>
    <d v="1899-12-30T00:02:25"/>
    <x v="3"/>
    <x v="9"/>
    <x v="7"/>
    <x v="1"/>
    <x v="2"/>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0"/>
    <n v="22"/>
    <x v="2"/>
    <x v="2"/>
    <x v="2"/>
    <x v="0"/>
    <n v="19000000"/>
    <n v="2"/>
    <d v="1899-12-30T00:02:30"/>
    <x v="1"/>
    <x v="4"/>
    <x v="7"/>
    <x v="3"/>
    <x v="13"/>
  </r>
  <r>
    <x v="0"/>
    <n v="27"/>
    <x v="2"/>
    <x v="0"/>
    <x v="2"/>
    <x v="4"/>
    <n v="21000000"/>
    <n v="3"/>
    <d v="1899-12-30T00:02:30"/>
    <x v="0"/>
    <x v="4"/>
    <x v="5"/>
    <x v="1"/>
    <x v="6"/>
  </r>
  <r>
    <x v="0"/>
    <n v="21"/>
    <x v="3"/>
    <x v="3"/>
    <x v="0"/>
    <x v="2"/>
    <n v="38000000"/>
    <n v="3"/>
    <d v="1899-12-30T00:02:30"/>
    <x v="1"/>
    <x v="3"/>
    <x v="2"/>
    <x v="2"/>
    <x v="8"/>
  </r>
  <r>
    <x v="0"/>
    <n v="24"/>
    <x v="3"/>
    <x v="0"/>
    <x v="1"/>
    <x v="3"/>
    <n v="20000000"/>
    <n v="2"/>
    <d v="1899-12-30T00:02:30"/>
    <x v="2"/>
    <x v="5"/>
    <x v="2"/>
    <x v="2"/>
    <x v="8"/>
  </r>
  <r>
    <x v="0"/>
    <n v="5"/>
    <x v="3"/>
    <x v="0"/>
    <x v="0"/>
    <x v="3"/>
    <n v="11000000"/>
    <n v="4"/>
    <d v="1899-12-30T00:02:30"/>
    <x v="2"/>
    <x v="0"/>
    <x v="4"/>
    <x v="1"/>
    <x v="1"/>
  </r>
  <r>
    <x v="0"/>
    <n v="1"/>
    <x v="3"/>
    <x v="2"/>
    <x v="1"/>
    <x v="2"/>
    <n v="12000000"/>
    <n v="1"/>
    <d v="1899-12-30T00:02:30"/>
    <x v="0"/>
    <x v="2"/>
    <x v="2"/>
    <x v="1"/>
    <x v="2"/>
  </r>
  <r>
    <x v="0"/>
    <n v="8"/>
    <x v="3"/>
    <x v="3"/>
    <x v="2"/>
    <x v="1"/>
    <n v="15000000"/>
    <n v="1"/>
    <d v="1899-12-30T00:02:30"/>
    <x v="0"/>
    <x v="4"/>
    <x v="3"/>
    <x v="1"/>
    <x v="1"/>
  </r>
  <r>
    <x v="0"/>
    <n v="28"/>
    <x v="3"/>
    <x v="2"/>
    <x v="2"/>
    <x v="1"/>
    <n v="15000000"/>
    <n v="2"/>
    <d v="1899-12-30T00:02:30"/>
    <x v="0"/>
    <x v="6"/>
    <x v="3"/>
    <x v="0"/>
    <x v="7"/>
  </r>
  <r>
    <x v="0"/>
    <n v="7"/>
    <x v="3"/>
    <x v="3"/>
    <x v="4"/>
    <x v="2"/>
    <n v="12000000"/>
    <n v="1"/>
    <d v="1899-12-30T00:02:30"/>
    <x v="0"/>
    <x v="3"/>
    <x v="6"/>
    <x v="1"/>
    <x v="2"/>
  </r>
  <r>
    <x v="0"/>
    <n v="30"/>
    <x v="4"/>
    <x v="2"/>
    <x v="0"/>
    <x v="1"/>
    <n v="15000000"/>
    <n v="1"/>
    <d v="1899-12-30T00:02:30"/>
    <x v="0"/>
    <x v="2"/>
    <x v="5"/>
    <x v="2"/>
    <x v="8"/>
  </r>
  <r>
    <x v="0"/>
    <n v="1"/>
    <x v="4"/>
    <x v="1"/>
    <x v="2"/>
    <x v="3"/>
    <n v="20000000"/>
    <n v="3"/>
    <d v="1899-12-30T00:02:30"/>
    <x v="0"/>
    <x v="7"/>
    <x v="1"/>
    <x v="3"/>
    <x v="4"/>
  </r>
  <r>
    <x v="0"/>
    <n v="5"/>
    <x v="4"/>
    <x v="3"/>
    <x v="0"/>
    <x v="2"/>
    <n v="12000000"/>
    <n v="3"/>
    <d v="1899-12-30T00:02:30"/>
    <x v="0"/>
    <x v="0"/>
    <x v="7"/>
    <x v="0"/>
    <x v="7"/>
  </r>
  <r>
    <x v="0"/>
    <n v="1"/>
    <x v="10"/>
    <x v="2"/>
    <x v="1"/>
    <x v="2"/>
    <n v="12000000"/>
    <n v="4"/>
    <d v="1899-12-30T00:02:30"/>
    <x v="0"/>
    <x v="0"/>
    <x v="0"/>
    <x v="3"/>
    <x v="13"/>
  </r>
  <r>
    <x v="0"/>
    <n v="2"/>
    <x v="10"/>
    <x v="0"/>
    <x v="2"/>
    <x v="2"/>
    <n v="12000000"/>
    <n v="1"/>
    <d v="1899-12-30T00:02:30"/>
    <x v="0"/>
    <x v="8"/>
    <x v="7"/>
    <x v="3"/>
    <x v="13"/>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1"/>
    <n v="11"/>
    <x v="8"/>
    <x v="0"/>
    <x v="1"/>
    <x v="5"/>
    <n v="0"/>
    <n v="2"/>
    <d v="1899-12-30T00:02:30"/>
    <x v="3"/>
    <x v="9"/>
    <x v="6"/>
    <x v="3"/>
    <x v="13"/>
  </r>
  <r>
    <x v="1"/>
    <n v="27"/>
    <x v="8"/>
    <x v="3"/>
    <x v="2"/>
    <x v="5"/>
    <n v="0"/>
    <n v="3"/>
    <d v="1899-12-30T00:02:30"/>
    <x v="3"/>
    <x v="9"/>
    <x v="2"/>
    <x v="0"/>
    <x v="5"/>
  </r>
  <r>
    <x v="1"/>
    <n v="20"/>
    <x v="2"/>
    <x v="0"/>
    <x v="1"/>
    <x v="5"/>
    <n v="0"/>
    <n v="2"/>
    <d v="1899-12-30T00:02:30"/>
    <x v="3"/>
    <x v="9"/>
    <x v="5"/>
    <x v="1"/>
    <x v="1"/>
  </r>
  <r>
    <x v="1"/>
    <n v="1"/>
    <x v="3"/>
    <x v="2"/>
    <x v="1"/>
    <x v="5"/>
    <n v="0"/>
    <n v="4"/>
    <d v="1899-12-30T00:02:30"/>
    <x v="3"/>
    <x v="9"/>
    <x v="6"/>
    <x v="0"/>
    <x v="7"/>
  </r>
  <r>
    <x v="1"/>
    <n v="1"/>
    <x v="4"/>
    <x v="0"/>
    <x v="2"/>
    <x v="5"/>
    <n v="0"/>
    <n v="4"/>
    <d v="1899-12-30T00:02:30"/>
    <x v="3"/>
    <x v="9"/>
    <x v="3"/>
    <x v="1"/>
    <x v="2"/>
  </r>
  <r>
    <x v="1"/>
    <n v="25"/>
    <x v="4"/>
    <x v="1"/>
    <x v="0"/>
    <x v="5"/>
    <n v="0"/>
    <n v="3"/>
    <d v="1899-12-30T00:02:30"/>
    <x v="3"/>
    <x v="9"/>
    <x v="1"/>
    <x v="0"/>
    <x v="7"/>
  </r>
  <r>
    <x v="1"/>
    <n v="3"/>
    <x v="10"/>
    <x v="3"/>
    <x v="1"/>
    <x v="5"/>
    <n v="0"/>
    <n v="1"/>
    <d v="1899-12-30T00:02:30"/>
    <x v="3"/>
    <x v="9"/>
    <x v="2"/>
    <x v="2"/>
    <x v="11"/>
  </r>
  <r>
    <x v="1"/>
    <n v="10"/>
    <x v="10"/>
    <x v="2"/>
    <x v="1"/>
    <x v="5"/>
    <n v="0"/>
    <n v="1"/>
    <d v="1899-12-30T00:02:30"/>
    <x v="3"/>
    <x v="9"/>
    <x v="3"/>
    <x v="1"/>
    <x v="2"/>
  </r>
  <r>
    <x v="1"/>
    <n v="11"/>
    <x v="8"/>
    <x v="0"/>
    <x v="1"/>
    <x v="5"/>
    <n v="0"/>
    <n v="2"/>
    <d v="1899-12-30T00:02:30"/>
    <x v="3"/>
    <x v="9"/>
    <x v="6"/>
    <x v="3"/>
    <x v="13"/>
  </r>
  <r>
    <x v="1"/>
    <n v="27"/>
    <x v="8"/>
    <x v="3"/>
    <x v="2"/>
    <x v="5"/>
    <n v="0"/>
    <n v="3"/>
    <d v="1899-12-30T00:02:30"/>
    <x v="3"/>
    <x v="9"/>
    <x v="2"/>
    <x v="0"/>
    <x v="5"/>
  </r>
  <r>
    <x v="0"/>
    <n v="11"/>
    <x v="6"/>
    <x v="0"/>
    <x v="2"/>
    <x v="3"/>
    <n v="20000000"/>
    <n v="2"/>
    <d v="1899-12-30T00:02:50"/>
    <x v="0"/>
    <x v="0"/>
    <x v="5"/>
    <x v="0"/>
    <x v="10"/>
  </r>
  <r>
    <x v="0"/>
    <n v="12"/>
    <x v="2"/>
    <x v="2"/>
    <x v="3"/>
    <x v="2"/>
    <n v="38000000"/>
    <n v="1"/>
    <d v="1899-12-30T00:02:50"/>
    <x v="1"/>
    <x v="7"/>
    <x v="2"/>
    <x v="1"/>
    <x v="14"/>
  </r>
  <r>
    <x v="0"/>
    <n v="30"/>
    <x v="2"/>
    <x v="2"/>
    <x v="1"/>
    <x v="4"/>
    <n v="25000000"/>
    <n v="2"/>
    <d v="1899-12-30T00:02:50"/>
    <x v="0"/>
    <x v="2"/>
    <x v="2"/>
    <x v="0"/>
    <x v="12"/>
  </r>
  <r>
    <x v="0"/>
    <n v="27"/>
    <x v="3"/>
    <x v="2"/>
    <x v="2"/>
    <x v="0"/>
    <n v="19000000"/>
    <n v="1"/>
    <d v="1899-12-30T00:02:50"/>
    <x v="1"/>
    <x v="4"/>
    <x v="3"/>
    <x v="0"/>
    <x v="5"/>
  </r>
  <r>
    <x v="0"/>
    <n v="31"/>
    <x v="3"/>
    <x v="1"/>
    <x v="1"/>
    <x v="2"/>
    <n v="12000000"/>
    <n v="2"/>
    <d v="1899-12-30T00:02:50"/>
    <x v="0"/>
    <x v="7"/>
    <x v="3"/>
    <x v="2"/>
    <x v="3"/>
  </r>
  <r>
    <x v="0"/>
    <n v="25"/>
    <x v="3"/>
    <x v="0"/>
    <x v="2"/>
    <x v="1"/>
    <n v="15000000"/>
    <n v="2"/>
    <d v="1899-12-30T00:02:50"/>
    <x v="0"/>
    <x v="2"/>
    <x v="0"/>
    <x v="1"/>
    <x v="6"/>
  </r>
  <r>
    <x v="0"/>
    <n v="27"/>
    <x v="3"/>
    <x v="3"/>
    <x v="0"/>
    <x v="2"/>
    <n v="12000000"/>
    <n v="2"/>
    <d v="1899-12-30T00:02:50"/>
    <x v="0"/>
    <x v="1"/>
    <x v="7"/>
    <x v="1"/>
    <x v="2"/>
  </r>
  <r>
    <x v="0"/>
    <n v="29"/>
    <x v="4"/>
    <x v="3"/>
    <x v="4"/>
    <x v="3"/>
    <n v="11000000"/>
    <n v="3"/>
    <d v="1899-12-30T00:02:50"/>
    <x v="2"/>
    <x v="7"/>
    <x v="7"/>
    <x v="2"/>
    <x v="8"/>
  </r>
  <r>
    <x v="0"/>
    <n v="18"/>
    <x v="4"/>
    <x v="2"/>
    <x v="0"/>
    <x v="4"/>
    <n v="21000000"/>
    <n v="1"/>
    <d v="1899-12-30T00:02:50"/>
    <x v="0"/>
    <x v="0"/>
    <x v="6"/>
    <x v="3"/>
    <x v="4"/>
  </r>
  <r>
    <x v="0"/>
    <n v="16"/>
    <x v="10"/>
    <x v="1"/>
    <x v="2"/>
    <x v="1"/>
    <n v="15000000"/>
    <n v="6"/>
    <d v="1899-12-30T00:02:50"/>
    <x v="0"/>
    <x v="2"/>
    <x v="6"/>
    <x v="1"/>
    <x v="6"/>
  </r>
  <r>
    <x v="0"/>
    <n v="11"/>
    <x v="6"/>
    <x v="0"/>
    <x v="2"/>
    <x v="3"/>
    <n v="20000000"/>
    <n v="2"/>
    <d v="1899-12-30T00:02:50"/>
    <x v="0"/>
    <x v="0"/>
    <x v="5"/>
    <x v="0"/>
    <x v="10"/>
  </r>
  <r>
    <x v="1"/>
    <n v="24"/>
    <x v="2"/>
    <x v="2"/>
    <x v="2"/>
    <x v="5"/>
    <n v="0"/>
    <n v="2"/>
    <d v="1899-12-30T00:02:50"/>
    <x v="3"/>
    <x v="9"/>
    <x v="7"/>
    <x v="3"/>
    <x v="4"/>
  </r>
  <r>
    <x v="1"/>
    <n v="28"/>
    <x v="4"/>
    <x v="0"/>
    <x v="2"/>
    <x v="5"/>
    <n v="0"/>
    <n v="2"/>
    <d v="1899-12-30T00:02:50"/>
    <x v="3"/>
    <x v="9"/>
    <x v="3"/>
    <x v="1"/>
    <x v="2"/>
  </r>
  <r>
    <x v="1"/>
    <n v="11"/>
    <x v="4"/>
    <x v="4"/>
    <x v="1"/>
    <x v="5"/>
    <n v="0"/>
    <n v="3"/>
    <d v="1899-12-30T00:02:50"/>
    <x v="3"/>
    <x v="9"/>
    <x v="4"/>
    <x v="2"/>
    <x v="11"/>
  </r>
  <r>
    <x v="0"/>
    <n v="12"/>
    <x v="5"/>
    <x v="0"/>
    <x v="1"/>
    <x v="2"/>
    <n v="12000000"/>
    <n v="3"/>
    <d v="1899-12-30T00:02:56"/>
    <x v="0"/>
    <x v="4"/>
    <x v="3"/>
    <x v="1"/>
    <x v="14"/>
  </r>
  <r>
    <x v="0"/>
    <n v="17"/>
    <x v="9"/>
    <x v="0"/>
    <x v="2"/>
    <x v="3"/>
    <n v="20000000"/>
    <n v="1"/>
    <d v="1899-12-30T00:02:56"/>
    <x v="2"/>
    <x v="1"/>
    <x v="6"/>
    <x v="0"/>
    <x v="12"/>
  </r>
  <r>
    <x v="0"/>
    <n v="27"/>
    <x v="2"/>
    <x v="4"/>
    <x v="1"/>
    <x v="4"/>
    <n v="25000000"/>
    <n v="1"/>
    <d v="1899-12-30T00:02:56"/>
    <x v="0"/>
    <x v="7"/>
    <x v="6"/>
    <x v="0"/>
    <x v="9"/>
  </r>
  <r>
    <x v="0"/>
    <n v="15"/>
    <x v="2"/>
    <x v="5"/>
    <x v="0"/>
    <x v="2"/>
    <n v="10000000"/>
    <n v="2"/>
    <d v="1899-12-30T00:02:56"/>
    <x v="0"/>
    <x v="2"/>
    <x v="7"/>
    <x v="1"/>
    <x v="1"/>
  </r>
  <r>
    <x v="0"/>
    <n v="30"/>
    <x v="2"/>
    <x v="5"/>
    <x v="0"/>
    <x v="1"/>
    <n v="15000000"/>
    <n v="4"/>
    <d v="1899-12-30T00:02:56"/>
    <x v="0"/>
    <x v="4"/>
    <x v="7"/>
    <x v="3"/>
    <x v="13"/>
  </r>
  <r>
    <x v="0"/>
    <n v="8"/>
    <x v="3"/>
    <x v="1"/>
    <x v="0"/>
    <x v="0"/>
    <n v="19000000"/>
    <n v="2"/>
    <d v="1899-12-30T00:02:56"/>
    <x v="1"/>
    <x v="5"/>
    <x v="5"/>
    <x v="0"/>
    <x v="7"/>
  </r>
  <r>
    <x v="0"/>
    <n v="6"/>
    <x v="3"/>
    <x v="0"/>
    <x v="1"/>
    <x v="0"/>
    <n v="7000000"/>
    <n v="2"/>
    <d v="1899-12-30T00:02:56"/>
    <x v="0"/>
    <x v="0"/>
    <x v="2"/>
    <x v="0"/>
    <x v="10"/>
  </r>
  <r>
    <x v="0"/>
    <n v="29"/>
    <x v="3"/>
    <x v="4"/>
    <x v="1"/>
    <x v="2"/>
    <n v="12000000"/>
    <n v="1"/>
    <d v="1899-12-30T00:02:56"/>
    <x v="0"/>
    <x v="3"/>
    <x v="0"/>
    <x v="2"/>
    <x v="8"/>
  </r>
  <r>
    <x v="0"/>
    <n v="3"/>
    <x v="4"/>
    <x v="0"/>
    <x v="1"/>
    <x v="4"/>
    <n v="25000000"/>
    <n v="2"/>
    <d v="1899-12-30T00:02:56"/>
    <x v="0"/>
    <x v="2"/>
    <x v="0"/>
    <x v="0"/>
    <x v="7"/>
  </r>
  <r>
    <x v="0"/>
    <n v="30"/>
    <x v="10"/>
    <x v="2"/>
    <x v="2"/>
    <x v="2"/>
    <n v="38000000"/>
    <n v="2"/>
    <d v="1899-12-30T00:02:56"/>
    <x v="1"/>
    <x v="8"/>
    <x v="2"/>
    <x v="0"/>
    <x v="10"/>
  </r>
  <r>
    <x v="0"/>
    <n v="21"/>
    <x v="10"/>
    <x v="3"/>
    <x v="1"/>
    <x v="1"/>
    <n v="15000000"/>
    <n v="3"/>
    <d v="1899-12-30T00:02:56"/>
    <x v="0"/>
    <x v="0"/>
    <x v="3"/>
    <x v="2"/>
    <x v="11"/>
  </r>
  <r>
    <x v="0"/>
    <n v="12"/>
    <x v="5"/>
    <x v="0"/>
    <x v="1"/>
    <x v="2"/>
    <n v="12000000"/>
    <n v="3"/>
    <d v="1899-12-30T00:02:56"/>
    <x v="0"/>
    <x v="4"/>
    <x v="3"/>
    <x v="1"/>
    <x v="14"/>
  </r>
  <r>
    <x v="0"/>
    <n v="17"/>
    <x v="9"/>
    <x v="0"/>
    <x v="2"/>
    <x v="3"/>
    <n v="20000000"/>
    <n v="1"/>
    <d v="1899-12-30T00:02:56"/>
    <x v="2"/>
    <x v="1"/>
    <x v="6"/>
    <x v="0"/>
    <x v="12"/>
  </r>
  <r>
    <x v="1"/>
    <n v="11"/>
    <x v="4"/>
    <x v="3"/>
    <x v="1"/>
    <x v="5"/>
    <n v="0"/>
    <n v="2"/>
    <d v="1899-12-30T00:02:56"/>
    <x v="3"/>
    <x v="9"/>
    <x v="1"/>
    <x v="1"/>
    <x v="2"/>
  </r>
  <r>
    <x v="1"/>
    <n v="1"/>
    <x v="10"/>
    <x v="0"/>
    <x v="1"/>
    <x v="5"/>
    <n v="0"/>
    <n v="2"/>
    <d v="1899-12-30T00:02:56"/>
    <x v="3"/>
    <x v="9"/>
    <x v="5"/>
    <x v="3"/>
    <x v="13"/>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0"/>
    <n v="8"/>
    <x v="3"/>
    <x v="0"/>
    <x v="0"/>
    <x v="4"/>
    <n v="25000000"/>
    <n v="2"/>
    <d v="1899-12-30T00:03:00"/>
    <x v="0"/>
    <x v="2"/>
    <x v="3"/>
    <x v="1"/>
    <x v="6"/>
  </r>
  <r>
    <x v="0"/>
    <n v="21"/>
    <x v="3"/>
    <x v="5"/>
    <x v="2"/>
    <x v="2"/>
    <n v="12000000"/>
    <n v="4"/>
    <d v="1899-12-30T00:03:00"/>
    <x v="0"/>
    <x v="7"/>
    <x v="5"/>
    <x v="0"/>
    <x v="5"/>
  </r>
  <r>
    <x v="0"/>
    <n v="20"/>
    <x v="3"/>
    <x v="4"/>
    <x v="0"/>
    <x v="1"/>
    <n v="15000000"/>
    <n v="6"/>
    <d v="1899-12-30T00:03:00"/>
    <x v="0"/>
    <x v="0"/>
    <x v="6"/>
    <x v="0"/>
    <x v="12"/>
  </r>
  <r>
    <x v="0"/>
    <n v="4"/>
    <x v="3"/>
    <x v="0"/>
    <x v="4"/>
    <x v="3"/>
    <n v="20000000"/>
    <n v="3"/>
    <d v="1899-12-30T00:03:00"/>
    <x v="0"/>
    <x v="0"/>
    <x v="7"/>
    <x v="2"/>
    <x v="11"/>
  </r>
  <r>
    <x v="0"/>
    <n v="22"/>
    <x v="4"/>
    <x v="3"/>
    <x v="2"/>
    <x v="1"/>
    <n v="15000000"/>
    <n v="6"/>
    <d v="1899-12-30T00:03:00"/>
    <x v="0"/>
    <x v="1"/>
    <x v="5"/>
    <x v="0"/>
    <x v="12"/>
  </r>
  <r>
    <x v="0"/>
    <n v="31"/>
    <x v="10"/>
    <x v="2"/>
    <x v="4"/>
    <x v="2"/>
    <n v="38000000"/>
    <n v="4"/>
    <d v="1899-12-30T00:03:00"/>
    <x v="1"/>
    <x v="7"/>
    <x v="2"/>
    <x v="1"/>
    <x v="14"/>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1"/>
    <n v="4"/>
    <x v="8"/>
    <x v="0"/>
    <x v="0"/>
    <x v="5"/>
    <n v="0"/>
    <n v="3"/>
    <d v="1899-12-30T00:03:00"/>
    <x v="3"/>
    <x v="9"/>
    <x v="2"/>
    <x v="1"/>
    <x v="1"/>
  </r>
  <r>
    <x v="1"/>
    <n v="28"/>
    <x v="2"/>
    <x v="0"/>
    <x v="0"/>
    <x v="5"/>
    <n v="0"/>
    <n v="3"/>
    <d v="1899-12-30T00:03:00"/>
    <x v="3"/>
    <x v="9"/>
    <x v="7"/>
    <x v="3"/>
    <x v="4"/>
  </r>
  <r>
    <x v="1"/>
    <n v="10"/>
    <x v="3"/>
    <x v="1"/>
    <x v="2"/>
    <x v="5"/>
    <n v="0"/>
    <n v="3"/>
    <d v="1899-12-30T00:03:00"/>
    <x v="3"/>
    <x v="9"/>
    <x v="2"/>
    <x v="0"/>
    <x v="12"/>
  </r>
  <r>
    <x v="1"/>
    <n v="22"/>
    <x v="4"/>
    <x v="4"/>
    <x v="1"/>
    <x v="5"/>
    <n v="0"/>
    <n v="1"/>
    <d v="1899-12-30T00:03:00"/>
    <x v="3"/>
    <x v="9"/>
    <x v="4"/>
    <x v="2"/>
    <x v="8"/>
  </r>
  <r>
    <x v="1"/>
    <n v="4"/>
    <x v="8"/>
    <x v="0"/>
    <x v="0"/>
    <x v="5"/>
    <n v="0"/>
    <n v="3"/>
    <d v="1899-12-30T00:03:00"/>
    <x v="3"/>
    <x v="9"/>
    <x v="2"/>
    <x v="1"/>
    <x v="1"/>
  </r>
  <r>
    <x v="0"/>
    <n v="4"/>
    <x v="8"/>
    <x v="3"/>
    <x v="2"/>
    <x v="0"/>
    <n v="19000000"/>
    <n v="1"/>
    <d v="1899-12-30T00:03:10"/>
    <x v="1"/>
    <x v="7"/>
    <x v="3"/>
    <x v="2"/>
    <x v="3"/>
  </r>
  <r>
    <x v="0"/>
    <n v="17"/>
    <x v="1"/>
    <x v="0"/>
    <x v="2"/>
    <x v="1"/>
    <n v="15000000"/>
    <n v="2"/>
    <d v="1899-12-30T00:03:10"/>
    <x v="0"/>
    <x v="4"/>
    <x v="5"/>
    <x v="1"/>
    <x v="15"/>
  </r>
  <r>
    <x v="0"/>
    <n v="30"/>
    <x v="2"/>
    <x v="0"/>
    <x v="0"/>
    <x v="0"/>
    <n v="7000000"/>
    <n v="2"/>
    <d v="1899-12-30T00:03:10"/>
    <x v="0"/>
    <x v="0"/>
    <x v="4"/>
    <x v="3"/>
    <x v="4"/>
  </r>
  <r>
    <x v="0"/>
    <n v="18"/>
    <x v="2"/>
    <x v="0"/>
    <x v="2"/>
    <x v="2"/>
    <n v="12000000"/>
    <n v="2"/>
    <d v="1899-12-30T00:03:10"/>
    <x v="0"/>
    <x v="4"/>
    <x v="0"/>
    <x v="1"/>
    <x v="6"/>
  </r>
  <r>
    <x v="0"/>
    <n v="27"/>
    <x v="2"/>
    <x v="3"/>
    <x v="2"/>
    <x v="1"/>
    <n v="11000000"/>
    <n v="4"/>
    <d v="1899-12-30T00:03:10"/>
    <x v="0"/>
    <x v="7"/>
    <x v="5"/>
    <x v="0"/>
    <x v="7"/>
  </r>
  <r>
    <x v="0"/>
    <n v="12"/>
    <x v="3"/>
    <x v="2"/>
    <x v="0"/>
    <x v="2"/>
    <n v="38000000"/>
    <n v="4"/>
    <d v="1899-12-30T00:03:10"/>
    <x v="1"/>
    <x v="2"/>
    <x v="6"/>
    <x v="1"/>
    <x v="14"/>
  </r>
  <r>
    <x v="0"/>
    <n v="8"/>
    <x v="3"/>
    <x v="0"/>
    <x v="1"/>
    <x v="2"/>
    <n v="12000000"/>
    <n v="2"/>
    <d v="1899-12-30T00:03:10"/>
    <x v="0"/>
    <x v="7"/>
    <x v="1"/>
    <x v="0"/>
    <x v="12"/>
  </r>
  <r>
    <x v="0"/>
    <n v="11"/>
    <x v="4"/>
    <x v="4"/>
    <x v="2"/>
    <x v="4"/>
    <n v="20000000"/>
    <n v="4"/>
    <d v="1899-12-30T00:03:10"/>
    <x v="0"/>
    <x v="8"/>
    <x v="6"/>
    <x v="2"/>
    <x v="8"/>
  </r>
  <r>
    <x v="0"/>
    <n v="2"/>
    <x v="10"/>
    <x v="0"/>
    <x v="0"/>
    <x v="3"/>
    <n v="15000000"/>
    <n v="1"/>
    <d v="1899-12-30T00:03:10"/>
    <x v="0"/>
    <x v="0"/>
    <x v="1"/>
    <x v="1"/>
    <x v="2"/>
  </r>
  <r>
    <x v="0"/>
    <n v="4"/>
    <x v="8"/>
    <x v="3"/>
    <x v="2"/>
    <x v="0"/>
    <n v="19000000"/>
    <n v="1"/>
    <d v="1899-12-30T00:03:10"/>
    <x v="1"/>
    <x v="7"/>
    <x v="3"/>
    <x v="2"/>
    <x v="3"/>
  </r>
  <r>
    <x v="0"/>
    <n v="17"/>
    <x v="1"/>
    <x v="0"/>
    <x v="2"/>
    <x v="1"/>
    <n v="15000000"/>
    <n v="2"/>
    <d v="1899-12-30T00:03:10"/>
    <x v="0"/>
    <x v="4"/>
    <x v="5"/>
    <x v="1"/>
    <x v="15"/>
  </r>
  <r>
    <x v="1"/>
    <n v="13"/>
    <x v="0"/>
    <x v="1"/>
    <x v="2"/>
    <x v="5"/>
    <n v="0"/>
    <n v="4"/>
    <d v="1899-12-30T00:03:10"/>
    <x v="3"/>
    <x v="9"/>
    <x v="6"/>
    <x v="0"/>
    <x v="12"/>
  </r>
  <r>
    <x v="1"/>
    <n v="27"/>
    <x v="3"/>
    <x v="1"/>
    <x v="2"/>
    <x v="5"/>
    <n v="0"/>
    <n v="2"/>
    <d v="1899-12-30T00:03:10"/>
    <x v="3"/>
    <x v="9"/>
    <x v="5"/>
    <x v="0"/>
    <x v="9"/>
  </r>
  <r>
    <x v="1"/>
    <n v="20"/>
    <x v="3"/>
    <x v="4"/>
    <x v="2"/>
    <x v="5"/>
    <n v="0"/>
    <n v="1"/>
    <d v="1899-12-30T00:03:10"/>
    <x v="3"/>
    <x v="9"/>
    <x v="3"/>
    <x v="3"/>
    <x v="13"/>
  </r>
  <r>
    <x v="1"/>
    <n v="18"/>
    <x v="4"/>
    <x v="2"/>
    <x v="2"/>
    <x v="5"/>
    <n v="0"/>
    <n v="5"/>
    <d v="1899-12-30T00:03:10"/>
    <x v="3"/>
    <x v="9"/>
    <x v="7"/>
    <x v="0"/>
    <x v="9"/>
  </r>
  <r>
    <x v="1"/>
    <n v="13"/>
    <x v="0"/>
    <x v="1"/>
    <x v="2"/>
    <x v="5"/>
    <n v="0"/>
    <n v="4"/>
    <d v="1899-12-30T00:03:10"/>
    <x v="3"/>
    <x v="9"/>
    <x v="6"/>
    <x v="0"/>
    <x v="12"/>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0"/>
    <n v="30"/>
    <x v="2"/>
    <x v="0"/>
    <x v="2"/>
    <x v="0"/>
    <n v="19000000"/>
    <n v="1"/>
    <d v="1899-12-30T00:03:12"/>
    <x v="1"/>
    <x v="2"/>
    <x v="0"/>
    <x v="1"/>
    <x v="2"/>
  </r>
  <r>
    <x v="0"/>
    <n v="28"/>
    <x v="2"/>
    <x v="4"/>
    <x v="3"/>
    <x v="3"/>
    <n v="11000000"/>
    <n v="2"/>
    <d v="1899-12-30T00:03:12"/>
    <x v="2"/>
    <x v="7"/>
    <x v="0"/>
    <x v="1"/>
    <x v="1"/>
  </r>
  <r>
    <x v="0"/>
    <n v="22"/>
    <x v="2"/>
    <x v="0"/>
    <x v="2"/>
    <x v="4"/>
    <n v="25000000"/>
    <n v="3"/>
    <d v="1899-12-30T00:03:12"/>
    <x v="0"/>
    <x v="0"/>
    <x v="5"/>
    <x v="2"/>
    <x v="11"/>
  </r>
  <r>
    <x v="0"/>
    <n v="11"/>
    <x v="2"/>
    <x v="0"/>
    <x v="0"/>
    <x v="2"/>
    <n v="12000000"/>
    <n v="3"/>
    <d v="1899-12-30T00:03:12"/>
    <x v="0"/>
    <x v="0"/>
    <x v="7"/>
    <x v="1"/>
    <x v="14"/>
  </r>
  <r>
    <x v="0"/>
    <n v="30"/>
    <x v="2"/>
    <x v="3"/>
    <x v="1"/>
    <x v="1"/>
    <n v="15000000"/>
    <n v="5"/>
    <d v="1899-12-30T00:03:12"/>
    <x v="0"/>
    <x v="2"/>
    <x v="7"/>
    <x v="1"/>
    <x v="6"/>
  </r>
  <r>
    <x v="0"/>
    <n v="2"/>
    <x v="3"/>
    <x v="4"/>
    <x v="2"/>
    <x v="4"/>
    <n v="21000000"/>
    <n v="1"/>
    <d v="1899-12-30T00:03:12"/>
    <x v="0"/>
    <x v="5"/>
    <x v="2"/>
    <x v="2"/>
    <x v="8"/>
  </r>
  <r>
    <x v="0"/>
    <n v="25"/>
    <x v="3"/>
    <x v="2"/>
    <x v="0"/>
    <x v="4"/>
    <n v="25000000"/>
    <n v="2"/>
    <d v="1899-12-30T00:03:12"/>
    <x v="0"/>
    <x v="4"/>
    <x v="2"/>
    <x v="0"/>
    <x v="10"/>
  </r>
  <r>
    <x v="0"/>
    <n v="28"/>
    <x v="3"/>
    <x v="5"/>
    <x v="1"/>
    <x v="0"/>
    <n v="7000000"/>
    <n v="2"/>
    <d v="1899-12-30T00:03:12"/>
    <x v="0"/>
    <x v="1"/>
    <x v="7"/>
    <x v="1"/>
    <x v="1"/>
  </r>
  <r>
    <x v="0"/>
    <n v="22"/>
    <x v="3"/>
    <x v="2"/>
    <x v="1"/>
    <x v="1"/>
    <n v="15000000"/>
    <n v="2"/>
    <d v="1899-12-30T00:03:12"/>
    <x v="0"/>
    <x v="2"/>
    <x v="6"/>
    <x v="2"/>
    <x v="8"/>
  </r>
  <r>
    <x v="0"/>
    <n v="25"/>
    <x v="3"/>
    <x v="4"/>
    <x v="2"/>
    <x v="2"/>
    <n v="12000000"/>
    <n v="1"/>
    <d v="1899-12-30T00:03:12"/>
    <x v="0"/>
    <x v="2"/>
    <x v="6"/>
    <x v="2"/>
    <x v="11"/>
  </r>
  <r>
    <x v="0"/>
    <n v="29"/>
    <x v="3"/>
    <x v="4"/>
    <x v="2"/>
    <x v="2"/>
    <n v="12000000"/>
    <n v="1"/>
    <d v="1899-12-30T00:03:12"/>
    <x v="0"/>
    <x v="1"/>
    <x v="7"/>
    <x v="1"/>
    <x v="1"/>
  </r>
  <r>
    <x v="0"/>
    <n v="20"/>
    <x v="4"/>
    <x v="3"/>
    <x v="2"/>
    <x v="2"/>
    <n v="38000000"/>
    <n v="4"/>
    <d v="1899-12-30T00:03:12"/>
    <x v="4"/>
    <x v="0"/>
    <x v="5"/>
    <x v="3"/>
    <x v="13"/>
  </r>
  <r>
    <x v="0"/>
    <n v="9"/>
    <x v="4"/>
    <x v="2"/>
    <x v="2"/>
    <x v="4"/>
    <n v="25000000"/>
    <n v="2"/>
    <d v="1899-12-30T00:03:12"/>
    <x v="0"/>
    <x v="3"/>
    <x v="3"/>
    <x v="3"/>
    <x v="4"/>
  </r>
  <r>
    <x v="0"/>
    <n v="17"/>
    <x v="10"/>
    <x v="0"/>
    <x v="1"/>
    <x v="3"/>
    <n v="11000000"/>
    <n v="1"/>
    <d v="1899-12-30T00:03:12"/>
    <x v="2"/>
    <x v="8"/>
    <x v="0"/>
    <x v="1"/>
    <x v="1"/>
  </r>
  <r>
    <x v="0"/>
    <n v="10"/>
    <x v="10"/>
    <x v="4"/>
    <x v="2"/>
    <x v="2"/>
    <n v="12000000"/>
    <n v="4"/>
    <d v="1899-12-30T00:03:12"/>
    <x v="0"/>
    <x v="4"/>
    <x v="0"/>
    <x v="1"/>
    <x v="6"/>
  </r>
  <r>
    <x v="0"/>
    <n v="24"/>
    <x v="10"/>
    <x v="4"/>
    <x v="2"/>
    <x v="2"/>
    <n v="12000000"/>
    <n v="2"/>
    <d v="1899-12-30T00:03:12"/>
    <x v="0"/>
    <x v="2"/>
    <x v="5"/>
    <x v="2"/>
    <x v="8"/>
  </r>
  <r>
    <x v="0"/>
    <n v="20"/>
    <x v="10"/>
    <x v="3"/>
    <x v="1"/>
    <x v="3"/>
    <n v="20000000"/>
    <n v="4"/>
    <d v="1899-12-30T00:03:12"/>
    <x v="0"/>
    <x v="4"/>
    <x v="6"/>
    <x v="2"/>
    <x v="11"/>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1"/>
    <n v="21"/>
    <x v="6"/>
    <x v="5"/>
    <x v="2"/>
    <x v="5"/>
    <n v="0"/>
    <n v="2"/>
    <d v="1899-12-30T00:03:12"/>
    <x v="3"/>
    <x v="9"/>
    <x v="5"/>
    <x v="0"/>
    <x v="7"/>
  </r>
  <r>
    <x v="1"/>
    <n v="16"/>
    <x v="7"/>
    <x v="1"/>
    <x v="0"/>
    <x v="5"/>
    <n v="0"/>
    <n v="5"/>
    <d v="1899-12-30T00:03:12"/>
    <x v="3"/>
    <x v="9"/>
    <x v="4"/>
    <x v="0"/>
    <x v="7"/>
  </r>
  <r>
    <x v="1"/>
    <n v="25"/>
    <x v="2"/>
    <x v="1"/>
    <x v="2"/>
    <x v="5"/>
    <n v="0"/>
    <n v="1"/>
    <d v="1899-12-30T00:03:12"/>
    <x v="3"/>
    <x v="9"/>
    <x v="2"/>
    <x v="0"/>
    <x v="10"/>
  </r>
  <r>
    <x v="1"/>
    <n v="7"/>
    <x v="10"/>
    <x v="0"/>
    <x v="0"/>
    <x v="5"/>
    <n v="0"/>
    <n v="1"/>
    <d v="1899-12-30T00:03:12"/>
    <x v="3"/>
    <x v="9"/>
    <x v="3"/>
    <x v="0"/>
    <x v="5"/>
  </r>
  <r>
    <x v="1"/>
    <n v="23"/>
    <x v="10"/>
    <x v="2"/>
    <x v="2"/>
    <x v="5"/>
    <n v="0"/>
    <n v="5"/>
    <d v="1899-12-30T00:03:12"/>
    <x v="3"/>
    <x v="9"/>
    <x v="1"/>
    <x v="1"/>
    <x v="2"/>
  </r>
  <r>
    <x v="1"/>
    <n v="21"/>
    <x v="6"/>
    <x v="5"/>
    <x v="2"/>
    <x v="5"/>
    <n v="0"/>
    <n v="2"/>
    <d v="1899-12-30T00:03:12"/>
    <x v="3"/>
    <x v="9"/>
    <x v="5"/>
    <x v="0"/>
    <x v="7"/>
  </r>
  <r>
    <x v="1"/>
    <n v="16"/>
    <x v="7"/>
    <x v="1"/>
    <x v="0"/>
    <x v="5"/>
    <n v="0"/>
    <n v="5"/>
    <d v="1899-12-30T00:03:12"/>
    <x v="3"/>
    <x v="9"/>
    <x v="4"/>
    <x v="0"/>
    <x v="7"/>
  </r>
  <r>
    <x v="0"/>
    <n v="30"/>
    <x v="1"/>
    <x v="1"/>
    <x v="1"/>
    <x v="4"/>
    <n v="25000000"/>
    <n v="1"/>
    <d v="1899-12-30T00:03:14"/>
    <x v="0"/>
    <x v="8"/>
    <x v="1"/>
    <x v="1"/>
    <x v="1"/>
  </r>
  <r>
    <x v="0"/>
    <n v="25"/>
    <x v="2"/>
    <x v="0"/>
    <x v="1"/>
    <x v="3"/>
    <n v="20000000"/>
    <n v="2"/>
    <d v="1899-12-30T00:03:14"/>
    <x v="2"/>
    <x v="0"/>
    <x v="7"/>
    <x v="0"/>
    <x v="10"/>
  </r>
  <r>
    <x v="0"/>
    <n v="9"/>
    <x v="2"/>
    <x v="1"/>
    <x v="1"/>
    <x v="0"/>
    <n v="7000000"/>
    <n v="2"/>
    <d v="1899-12-30T00:03:14"/>
    <x v="0"/>
    <x v="2"/>
    <x v="5"/>
    <x v="1"/>
    <x v="1"/>
  </r>
  <r>
    <x v="0"/>
    <n v="29"/>
    <x v="3"/>
    <x v="4"/>
    <x v="2"/>
    <x v="2"/>
    <n v="12000000"/>
    <n v="1"/>
    <d v="1899-12-30T00:03:14"/>
    <x v="0"/>
    <x v="7"/>
    <x v="2"/>
    <x v="2"/>
    <x v="3"/>
  </r>
  <r>
    <x v="0"/>
    <n v="13"/>
    <x v="3"/>
    <x v="1"/>
    <x v="1"/>
    <x v="2"/>
    <n v="12000000"/>
    <n v="2"/>
    <d v="1899-12-30T00:03:14"/>
    <x v="0"/>
    <x v="0"/>
    <x v="3"/>
    <x v="3"/>
    <x v="4"/>
  </r>
  <r>
    <x v="0"/>
    <n v="29"/>
    <x v="3"/>
    <x v="2"/>
    <x v="4"/>
    <x v="2"/>
    <n v="12000000"/>
    <n v="1"/>
    <d v="1899-12-30T00:03:14"/>
    <x v="0"/>
    <x v="5"/>
    <x v="6"/>
    <x v="2"/>
    <x v="8"/>
  </r>
  <r>
    <x v="0"/>
    <n v="1"/>
    <x v="4"/>
    <x v="1"/>
    <x v="1"/>
    <x v="2"/>
    <n v="38000000"/>
    <n v="4"/>
    <d v="1899-12-30T00:03:14"/>
    <x v="1"/>
    <x v="0"/>
    <x v="2"/>
    <x v="0"/>
    <x v="5"/>
  </r>
  <r>
    <x v="0"/>
    <n v="22"/>
    <x v="4"/>
    <x v="0"/>
    <x v="3"/>
    <x v="3"/>
    <n v="20000000"/>
    <n v="5"/>
    <d v="1899-12-30T00:03:14"/>
    <x v="0"/>
    <x v="4"/>
    <x v="5"/>
    <x v="0"/>
    <x v="7"/>
  </r>
  <r>
    <x v="0"/>
    <n v="1"/>
    <x v="10"/>
    <x v="0"/>
    <x v="1"/>
    <x v="4"/>
    <n v="21000000"/>
    <n v="2"/>
    <d v="1899-12-30T00:03:14"/>
    <x v="0"/>
    <x v="5"/>
    <x v="4"/>
    <x v="0"/>
    <x v="12"/>
  </r>
  <r>
    <x v="0"/>
    <n v="15"/>
    <x v="10"/>
    <x v="1"/>
    <x v="2"/>
    <x v="1"/>
    <n v="15000000"/>
    <n v="2"/>
    <d v="1899-12-30T00:03:14"/>
    <x v="0"/>
    <x v="2"/>
    <x v="0"/>
    <x v="0"/>
    <x v="9"/>
  </r>
  <r>
    <x v="1"/>
    <n v="20"/>
    <x v="7"/>
    <x v="0"/>
    <x v="1"/>
    <x v="5"/>
    <n v="0"/>
    <n v="2"/>
    <d v="1899-12-30T00:03:14"/>
    <x v="3"/>
    <x v="9"/>
    <x v="7"/>
    <x v="3"/>
    <x v="4"/>
  </r>
  <r>
    <x v="1"/>
    <n v="10"/>
    <x v="10"/>
    <x v="1"/>
    <x v="2"/>
    <x v="5"/>
    <n v="0"/>
    <n v="4"/>
    <d v="1899-12-30T00:03:14"/>
    <x v="3"/>
    <x v="9"/>
    <x v="5"/>
    <x v="0"/>
    <x v="12"/>
  </r>
  <r>
    <x v="1"/>
    <n v="20"/>
    <x v="10"/>
    <x v="0"/>
    <x v="1"/>
    <x v="5"/>
    <n v="0"/>
    <n v="1"/>
    <d v="1899-12-30T00:03:14"/>
    <x v="3"/>
    <x v="9"/>
    <x v="3"/>
    <x v="1"/>
    <x v="14"/>
  </r>
  <r>
    <x v="1"/>
    <n v="20"/>
    <x v="7"/>
    <x v="0"/>
    <x v="1"/>
    <x v="5"/>
    <n v="0"/>
    <n v="2"/>
    <d v="1899-12-30T00:03:14"/>
    <x v="3"/>
    <x v="9"/>
    <x v="7"/>
    <x v="3"/>
    <x v="4"/>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0"/>
    <n v="3"/>
    <x v="2"/>
    <x v="0"/>
    <x v="0"/>
    <x v="1"/>
    <n v="12000000"/>
    <n v="1"/>
    <d v="1899-12-30T00:03:16"/>
    <x v="0"/>
    <x v="2"/>
    <x v="2"/>
    <x v="1"/>
    <x v="1"/>
  </r>
  <r>
    <x v="0"/>
    <n v="28"/>
    <x v="3"/>
    <x v="3"/>
    <x v="3"/>
    <x v="2"/>
    <n v="38000000"/>
    <n v="2"/>
    <d v="1899-12-30T00:03:16"/>
    <x v="1"/>
    <x v="2"/>
    <x v="1"/>
    <x v="0"/>
    <x v="9"/>
  </r>
  <r>
    <x v="0"/>
    <n v="28"/>
    <x v="3"/>
    <x v="0"/>
    <x v="0"/>
    <x v="0"/>
    <n v="19000000"/>
    <n v="1"/>
    <d v="1899-12-30T00:03:16"/>
    <x v="1"/>
    <x v="0"/>
    <x v="6"/>
    <x v="0"/>
    <x v="7"/>
  </r>
  <r>
    <x v="0"/>
    <n v="23"/>
    <x v="3"/>
    <x v="4"/>
    <x v="2"/>
    <x v="2"/>
    <n v="10000000"/>
    <n v="2"/>
    <d v="1899-12-30T00:03:16"/>
    <x v="0"/>
    <x v="0"/>
    <x v="1"/>
    <x v="0"/>
    <x v="7"/>
  </r>
  <r>
    <x v="0"/>
    <n v="26"/>
    <x v="3"/>
    <x v="2"/>
    <x v="1"/>
    <x v="0"/>
    <n v="7000000"/>
    <n v="2"/>
    <d v="1899-12-30T00:03:16"/>
    <x v="0"/>
    <x v="2"/>
    <x v="3"/>
    <x v="1"/>
    <x v="2"/>
  </r>
  <r>
    <x v="0"/>
    <n v="1"/>
    <x v="3"/>
    <x v="3"/>
    <x v="4"/>
    <x v="1"/>
    <n v="11000000"/>
    <n v="3"/>
    <d v="1899-12-30T00:03:16"/>
    <x v="0"/>
    <x v="0"/>
    <x v="4"/>
    <x v="2"/>
    <x v="11"/>
  </r>
  <r>
    <x v="0"/>
    <n v="12"/>
    <x v="4"/>
    <x v="4"/>
    <x v="0"/>
    <x v="4"/>
    <n v="25000000"/>
    <n v="4"/>
    <d v="1899-12-30T00:03:16"/>
    <x v="0"/>
    <x v="1"/>
    <x v="5"/>
    <x v="1"/>
    <x v="2"/>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1"/>
    <n v="9"/>
    <x v="9"/>
    <x v="0"/>
    <x v="0"/>
    <x v="5"/>
    <n v="0"/>
    <n v="3"/>
    <d v="1899-12-30T00:03:16"/>
    <x v="3"/>
    <x v="9"/>
    <x v="5"/>
    <x v="0"/>
    <x v="12"/>
  </r>
  <r>
    <x v="1"/>
    <n v="17"/>
    <x v="2"/>
    <x v="1"/>
    <x v="0"/>
    <x v="5"/>
    <n v="0"/>
    <n v="2"/>
    <d v="1899-12-30T00:03:16"/>
    <x v="3"/>
    <x v="9"/>
    <x v="7"/>
    <x v="2"/>
    <x v="8"/>
  </r>
  <r>
    <x v="1"/>
    <n v="11"/>
    <x v="4"/>
    <x v="5"/>
    <x v="2"/>
    <x v="5"/>
    <n v="0"/>
    <n v="3"/>
    <d v="1899-12-30T00:03:16"/>
    <x v="3"/>
    <x v="9"/>
    <x v="4"/>
    <x v="1"/>
    <x v="1"/>
  </r>
  <r>
    <x v="1"/>
    <n v="9"/>
    <x v="9"/>
    <x v="0"/>
    <x v="0"/>
    <x v="5"/>
    <n v="0"/>
    <n v="3"/>
    <d v="1899-12-30T00:03:16"/>
    <x v="3"/>
    <x v="9"/>
    <x v="5"/>
    <x v="0"/>
    <x v="12"/>
  </r>
  <r>
    <x v="0"/>
    <n v="3"/>
    <x v="1"/>
    <x v="2"/>
    <x v="2"/>
    <x v="0"/>
    <n v="19000000"/>
    <n v="2"/>
    <d v="1899-12-30T00:03:17"/>
    <x v="1"/>
    <x v="3"/>
    <x v="5"/>
    <x v="3"/>
    <x v="4"/>
  </r>
  <r>
    <x v="0"/>
    <n v="30"/>
    <x v="1"/>
    <x v="2"/>
    <x v="1"/>
    <x v="2"/>
    <n v="12000000"/>
    <n v="2"/>
    <d v="1899-12-30T00:03:17"/>
    <x v="0"/>
    <x v="2"/>
    <x v="2"/>
    <x v="1"/>
    <x v="2"/>
  </r>
  <r>
    <x v="0"/>
    <n v="21"/>
    <x v="2"/>
    <x v="0"/>
    <x v="3"/>
    <x v="1"/>
    <n v="15000000"/>
    <n v="1"/>
    <d v="1899-12-30T00:03:17"/>
    <x v="0"/>
    <x v="2"/>
    <x v="3"/>
    <x v="2"/>
    <x v="11"/>
  </r>
  <r>
    <x v="0"/>
    <n v="31"/>
    <x v="3"/>
    <x v="3"/>
    <x v="1"/>
    <x v="1"/>
    <n v="15000000"/>
    <n v="2"/>
    <d v="1899-12-30T00:03:17"/>
    <x v="0"/>
    <x v="0"/>
    <x v="0"/>
    <x v="3"/>
    <x v="13"/>
  </r>
  <r>
    <x v="0"/>
    <n v="27"/>
    <x v="3"/>
    <x v="0"/>
    <x v="1"/>
    <x v="2"/>
    <n v="12000000"/>
    <n v="5"/>
    <d v="1899-12-30T00:03:17"/>
    <x v="0"/>
    <x v="1"/>
    <x v="6"/>
    <x v="0"/>
    <x v="0"/>
  </r>
  <r>
    <x v="0"/>
    <n v="30"/>
    <x v="4"/>
    <x v="0"/>
    <x v="1"/>
    <x v="4"/>
    <n v="20000000"/>
    <n v="2"/>
    <d v="1899-12-30T00:03:17"/>
    <x v="0"/>
    <x v="0"/>
    <x v="4"/>
    <x v="3"/>
    <x v="4"/>
  </r>
  <r>
    <x v="0"/>
    <n v="20"/>
    <x v="4"/>
    <x v="0"/>
    <x v="0"/>
    <x v="1"/>
    <n v="15000000"/>
    <n v="5"/>
    <d v="1899-12-30T00:03:17"/>
    <x v="0"/>
    <x v="2"/>
    <x v="5"/>
    <x v="0"/>
    <x v="10"/>
  </r>
  <r>
    <x v="0"/>
    <n v="4"/>
    <x v="4"/>
    <x v="3"/>
    <x v="1"/>
    <x v="0"/>
    <n v="7000000"/>
    <n v="2"/>
    <d v="1899-12-30T00:03:17"/>
    <x v="0"/>
    <x v="4"/>
    <x v="1"/>
    <x v="1"/>
    <x v="1"/>
  </r>
  <r>
    <x v="0"/>
    <n v="3"/>
    <x v="1"/>
    <x v="2"/>
    <x v="2"/>
    <x v="0"/>
    <n v="19000000"/>
    <n v="2"/>
    <d v="1899-12-30T00:03:17"/>
    <x v="1"/>
    <x v="3"/>
    <x v="5"/>
    <x v="3"/>
    <x v="4"/>
  </r>
  <r>
    <x v="0"/>
    <n v="30"/>
    <x v="1"/>
    <x v="2"/>
    <x v="1"/>
    <x v="2"/>
    <n v="12000000"/>
    <n v="2"/>
    <d v="1899-12-30T00:03:17"/>
    <x v="0"/>
    <x v="2"/>
    <x v="2"/>
    <x v="1"/>
    <x v="2"/>
  </r>
  <r>
    <x v="1"/>
    <n v="14"/>
    <x v="3"/>
    <x v="4"/>
    <x v="2"/>
    <x v="5"/>
    <n v="0"/>
    <n v="4"/>
    <d v="1899-12-30T00:03:17"/>
    <x v="3"/>
    <x v="9"/>
    <x v="1"/>
    <x v="0"/>
    <x v="7"/>
  </r>
  <r>
    <x v="1"/>
    <n v="5"/>
    <x v="3"/>
    <x v="1"/>
    <x v="1"/>
    <x v="5"/>
    <n v="0"/>
    <n v="1"/>
    <d v="1899-12-30T00:03:17"/>
    <x v="3"/>
    <x v="9"/>
    <x v="7"/>
    <x v="1"/>
    <x v="14"/>
  </r>
  <r>
    <x v="1"/>
    <n v="2"/>
    <x v="10"/>
    <x v="4"/>
    <x v="2"/>
    <x v="5"/>
    <n v="0"/>
    <n v="3"/>
    <d v="1899-12-30T00:03:17"/>
    <x v="3"/>
    <x v="9"/>
    <x v="2"/>
    <x v="0"/>
    <x v="7"/>
  </r>
  <r>
    <x v="1"/>
    <n v="30"/>
    <x v="10"/>
    <x v="3"/>
    <x v="1"/>
    <x v="5"/>
    <n v="0"/>
    <n v="2"/>
    <d v="1899-12-30T00:03:17"/>
    <x v="3"/>
    <x v="9"/>
    <x v="2"/>
    <x v="2"/>
    <x v="8"/>
  </r>
  <r>
    <x v="1"/>
    <n v="10"/>
    <x v="10"/>
    <x v="1"/>
    <x v="2"/>
    <x v="5"/>
    <n v="0"/>
    <n v="1"/>
    <d v="1899-12-30T00:03:17"/>
    <x v="3"/>
    <x v="9"/>
    <x v="3"/>
    <x v="2"/>
    <x v="3"/>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0"/>
    <n v="17"/>
    <x v="2"/>
    <x v="5"/>
    <x v="0"/>
    <x v="1"/>
    <n v="11000000"/>
    <n v="4"/>
    <d v="1899-12-30T00:03:30"/>
    <x v="0"/>
    <x v="0"/>
    <x v="1"/>
    <x v="3"/>
    <x v="13"/>
  </r>
  <r>
    <x v="0"/>
    <n v="30"/>
    <x v="2"/>
    <x v="0"/>
    <x v="1"/>
    <x v="4"/>
    <n v="25000000"/>
    <n v="3"/>
    <d v="1899-12-30T00:03:30"/>
    <x v="0"/>
    <x v="0"/>
    <x v="3"/>
    <x v="0"/>
    <x v="5"/>
  </r>
  <r>
    <x v="0"/>
    <n v="22"/>
    <x v="3"/>
    <x v="0"/>
    <x v="2"/>
    <x v="2"/>
    <n v="38000000"/>
    <n v="6"/>
    <d v="1899-12-30T00:03:30"/>
    <x v="1"/>
    <x v="2"/>
    <x v="5"/>
    <x v="0"/>
    <x v="12"/>
  </r>
  <r>
    <x v="0"/>
    <n v="7"/>
    <x v="3"/>
    <x v="0"/>
    <x v="2"/>
    <x v="2"/>
    <n v="10000000"/>
    <n v="5"/>
    <d v="1899-12-30T00:03:30"/>
    <x v="0"/>
    <x v="2"/>
    <x v="2"/>
    <x v="1"/>
    <x v="2"/>
  </r>
  <r>
    <x v="0"/>
    <n v="8"/>
    <x v="3"/>
    <x v="0"/>
    <x v="2"/>
    <x v="1"/>
    <n v="12000000"/>
    <n v="3"/>
    <d v="1899-12-30T00:03:30"/>
    <x v="0"/>
    <x v="7"/>
    <x v="2"/>
    <x v="2"/>
    <x v="8"/>
  </r>
  <r>
    <x v="0"/>
    <n v="19"/>
    <x v="3"/>
    <x v="1"/>
    <x v="4"/>
    <x v="3"/>
    <n v="20000000"/>
    <n v="1"/>
    <d v="1899-12-30T00:03:30"/>
    <x v="0"/>
    <x v="7"/>
    <x v="4"/>
    <x v="1"/>
    <x v="15"/>
  </r>
  <r>
    <x v="0"/>
    <n v="28"/>
    <x v="3"/>
    <x v="3"/>
    <x v="2"/>
    <x v="2"/>
    <n v="12000000"/>
    <n v="3"/>
    <d v="1899-12-30T00:03:30"/>
    <x v="0"/>
    <x v="5"/>
    <x v="5"/>
    <x v="2"/>
    <x v="11"/>
  </r>
  <r>
    <x v="0"/>
    <n v="5"/>
    <x v="4"/>
    <x v="0"/>
    <x v="2"/>
    <x v="0"/>
    <n v="19000000"/>
    <n v="2"/>
    <d v="1899-12-30T00:03:30"/>
    <x v="1"/>
    <x v="1"/>
    <x v="1"/>
    <x v="1"/>
    <x v="1"/>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1"/>
    <n v="12"/>
    <x v="2"/>
    <x v="2"/>
    <x v="2"/>
    <x v="5"/>
    <n v="0"/>
    <n v="1"/>
    <d v="1899-12-30T00:03:30"/>
    <x v="3"/>
    <x v="9"/>
    <x v="2"/>
    <x v="0"/>
    <x v="9"/>
  </r>
  <r>
    <x v="1"/>
    <n v="14"/>
    <x v="10"/>
    <x v="1"/>
    <x v="1"/>
    <x v="5"/>
    <n v="0"/>
    <n v="4"/>
    <d v="1899-12-30T00:03:30"/>
    <x v="3"/>
    <x v="9"/>
    <x v="2"/>
    <x v="1"/>
    <x v="2"/>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0"/>
    <n v="11"/>
    <x v="2"/>
    <x v="0"/>
    <x v="1"/>
    <x v="4"/>
    <n v="21000000"/>
    <n v="5"/>
    <d v="1899-12-30T00:03:40"/>
    <x v="0"/>
    <x v="7"/>
    <x v="4"/>
    <x v="1"/>
    <x v="15"/>
  </r>
  <r>
    <x v="0"/>
    <n v="30"/>
    <x v="2"/>
    <x v="2"/>
    <x v="0"/>
    <x v="3"/>
    <n v="20000000"/>
    <n v="4"/>
    <d v="1899-12-30T00:03:40"/>
    <x v="0"/>
    <x v="6"/>
    <x v="5"/>
    <x v="1"/>
    <x v="1"/>
  </r>
  <r>
    <x v="0"/>
    <n v="30"/>
    <x v="3"/>
    <x v="1"/>
    <x v="2"/>
    <x v="2"/>
    <n v="12000000"/>
    <n v="1"/>
    <d v="1899-12-30T00:03:40"/>
    <x v="0"/>
    <x v="7"/>
    <x v="6"/>
    <x v="2"/>
    <x v="11"/>
  </r>
  <r>
    <x v="0"/>
    <n v="17"/>
    <x v="4"/>
    <x v="2"/>
    <x v="0"/>
    <x v="3"/>
    <n v="11000000"/>
    <n v="1"/>
    <d v="1899-12-30T00:03:40"/>
    <x v="2"/>
    <x v="2"/>
    <x v="4"/>
    <x v="3"/>
    <x v="13"/>
  </r>
  <r>
    <x v="0"/>
    <n v="16"/>
    <x v="4"/>
    <x v="3"/>
    <x v="4"/>
    <x v="4"/>
    <n v="25000000"/>
    <n v="1"/>
    <d v="1899-12-30T00:03:40"/>
    <x v="0"/>
    <x v="2"/>
    <x v="1"/>
    <x v="1"/>
    <x v="6"/>
  </r>
  <r>
    <x v="0"/>
    <n v="27"/>
    <x v="10"/>
    <x v="2"/>
    <x v="2"/>
    <x v="2"/>
    <n v="38000000"/>
    <n v="1"/>
    <d v="1899-12-30T00:03:40"/>
    <x v="1"/>
    <x v="0"/>
    <x v="2"/>
    <x v="0"/>
    <x v="10"/>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1"/>
    <n v="23"/>
    <x v="2"/>
    <x v="2"/>
    <x v="2"/>
    <x v="5"/>
    <n v="0"/>
    <n v="1"/>
    <d v="1899-12-30T00:03:40"/>
    <x v="3"/>
    <x v="9"/>
    <x v="4"/>
    <x v="1"/>
    <x v="1"/>
  </r>
  <r>
    <x v="1"/>
    <n v="19"/>
    <x v="3"/>
    <x v="2"/>
    <x v="2"/>
    <x v="5"/>
    <n v="0"/>
    <n v="4"/>
    <d v="1899-12-30T00:03:40"/>
    <x v="3"/>
    <x v="9"/>
    <x v="5"/>
    <x v="0"/>
    <x v="10"/>
  </r>
  <r>
    <x v="1"/>
    <n v="27"/>
    <x v="4"/>
    <x v="0"/>
    <x v="2"/>
    <x v="5"/>
    <n v="0"/>
    <n v="1"/>
    <d v="1899-12-30T00:03:40"/>
    <x v="3"/>
    <x v="9"/>
    <x v="2"/>
    <x v="0"/>
    <x v="9"/>
  </r>
  <r>
    <x v="0"/>
    <n v="15"/>
    <x v="6"/>
    <x v="4"/>
    <x v="1"/>
    <x v="1"/>
    <n v="12000000"/>
    <n v="4"/>
    <d v="1899-12-30T00:04:00"/>
    <x v="0"/>
    <x v="2"/>
    <x v="2"/>
    <x v="0"/>
    <x v="7"/>
  </r>
  <r>
    <x v="0"/>
    <n v="4"/>
    <x v="11"/>
    <x v="1"/>
    <x v="1"/>
    <x v="0"/>
    <n v="19000000"/>
    <n v="2"/>
    <d v="1899-12-30T00:04:00"/>
    <x v="1"/>
    <x v="5"/>
    <x v="1"/>
    <x v="2"/>
    <x v="3"/>
  </r>
  <r>
    <x v="0"/>
    <n v="11"/>
    <x v="2"/>
    <x v="0"/>
    <x v="0"/>
    <x v="2"/>
    <n v="38000000"/>
    <n v="1"/>
    <d v="1899-12-30T00:04:00"/>
    <x v="4"/>
    <x v="4"/>
    <x v="4"/>
    <x v="1"/>
    <x v="15"/>
  </r>
  <r>
    <x v="0"/>
    <n v="23"/>
    <x v="2"/>
    <x v="2"/>
    <x v="0"/>
    <x v="0"/>
    <n v="7000000"/>
    <n v="3"/>
    <d v="1899-12-30T00:04:00"/>
    <x v="0"/>
    <x v="0"/>
    <x v="5"/>
    <x v="3"/>
    <x v="4"/>
  </r>
  <r>
    <x v="0"/>
    <n v="8"/>
    <x v="3"/>
    <x v="1"/>
    <x v="1"/>
    <x v="3"/>
    <n v="20000000"/>
    <n v="4"/>
    <d v="1899-12-30T00:04:00"/>
    <x v="2"/>
    <x v="0"/>
    <x v="0"/>
    <x v="1"/>
    <x v="2"/>
  </r>
  <r>
    <x v="0"/>
    <n v="8"/>
    <x v="3"/>
    <x v="1"/>
    <x v="0"/>
    <x v="1"/>
    <n v="15000000"/>
    <n v="1"/>
    <d v="1899-12-30T00:04:00"/>
    <x v="0"/>
    <x v="5"/>
    <x v="3"/>
    <x v="0"/>
    <x v="12"/>
  </r>
  <r>
    <x v="0"/>
    <n v="29"/>
    <x v="3"/>
    <x v="0"/>
    <x v="0"/>
    <x v="2"/>
    <n v="12000000"/>
    <n v="1"/>
    <d v="1899-12-30T00:04:00"/>
    <x v="0"/>
    <x v="8"/>
    <x v="6"/>
    <x v="0"/>
    <x v="9"/>
  </r>
  <r>
    <x v="0"/>
    <n v="25"/>
    <x v="3"/>
    <x v="2"/>
    <x v="1"/>
    <x v="4"/>
    <n v="25000000"/>
    <n v="3"/>
    <d v="1899-12-30T00:04:00"/>
    <x v="0"/>
    <x v="2"/>
    <x v="7"/>
    <x v="2"/>
    <x v="11"/>
  </r>
  <r>
    <x v="0"/>
    <n v="22"/>
    <x v="4"/>
    <x v="1"/>
    <x v="1"/>
    <x v="2"/>
    <n v="12000000"/>
    <n v="4"/>
    <d v="1899-12-30T00:04:00"/>
    <x v="0"/>
    <x v="4"/>
    <x v="1"/>
    <x v="1"/>
    <x v="6"/>
  </r>
  <r>
    <x v="0"/>
    <n v="15"/>
    <x v="6"/>
    <x v="4"/>
    <x v="1"/>
    <x v="1"/>
    <n v="12000000"/>
    <n v="4"/>
    <d v="1899-12-30T00:04:00"/>
    <x v="0"/>
    <x v="2"/>
    <x v="2"/>
    <x v="0"/>
    <x v="7"/>
  </r>
  <r>
    <x v="0"/>
    <n v="4"/>
    <x v="11"/>
    <x v="1"/>
    <x v="1"/>
    <x v="0"/>
    <n v="19000000"/>
    <n v="2"/>
    <d v="1899-12-30T00:04:00"/>
    <x v="1"/>
    <x v="5"/>
    <x v="1"/>
    <x v="2"/>
    <x v="3"/>
  </r>
  <r>
    <x v="1"/>
    <n v="25"/>
    <x v="3"/>
    <x v="2"/>
    <x v="2"/>
    <x v="5"/>
    <n v="0"/>
    <n v="5"/>
    <d v="1899-12-30T00:04:00"/>
    <x v="3"/>
    <x v="9"/>
    <x v="3"/>
    <x v="2"/>
    <x v="8"/>
  </r>
  <r>
    <x v="1"/>
    <n v="26"/>
    <x v="4"/>
    <x v="0"/>
    <x v="1"/>
    <x v="5"/>
    <n v="0"/>
    <n v="2"/>
    <d v="1899-12-30T00:04:00"/>
    <x v="3"/>
    <x v="9"/>
    <x v="5"/>
    <x v="1"/>
    <x v="1"/>
  </r>
  <r>
    <x v="1"/>
    <n v="26"/>
    <x v="4"/>
    <x v="1"/>
    <x v="1"/>
    <x v="5"/>
    <n v="0"/>
    <n v="3"/>
    <d v="1899-12-30T00:04:00"/>
    <x v="3"/>
    <x v="9"/>
    <x v="7"/>
    <x v="1"/>
    <x v="1"/>
  </r>
  <r>
    <x v="1"/>
    <n v="10"/>
    <x v="10"/>
    <x v="2"/>
    <x v="0"/>
    <x v="5"/>
    <n v="0"/>
    <n v="3"/>
    <d v="1899-12-30T00:04:00"/>
    <x v="3"/>
    <x v="9"/>
    <x v="5"/>
    <x v="3"/>
    <x v="4"/>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0"/>
    <n v="9"/>
    <x v="2"/>
    <x v="2"/>
    <x v="1"/>
    <x v="2"/>
    <n v="38000000"/>
    <n v="5"/>
    <d v="1899-12-30T00:04:40"/>
    <x v="1"/>
    <x v="0"/>
    <x v="6"/>
    <x v="1"/>
    <x v="2"/>
  </r>
  <r>
    <x v="0"/>
    <n v="11"/>
    <x v="2"/>
    <x v="2"/>
    <x v="2"/>
    <x v="2"/>
    <n v="12000000"/>
    <n v="5"/>
    <d v="1899-12-30T00:04:40"/>
    <x v="0"/>
    <x v="6"/>
    <x v="0"/>
    <x v="0"/>
    <x v="10"/>
  </r>
  <r>
    <x v="0"/>
    <n v="22"/>
    <x v="2"/>
    <x v="4"/>
    <x v="2"/>
    <x v="1"/>
    <n v="15000000"/>
    <n v="4"/>
    <d v="1899-12-30T00:04:40"/>
    <x v="0"/>
    <x v="7"/>
    <x v="2"/>
    <x v="2"/>
    <x v="11"/>
  </r>
  <r>
    <x v="0"/>
    <n v="30"/>
    <x v="2"/>
    <x v="4"/>
    <x v="1"/>
    <x v="1"/>
    <n v="15000000"/>
    <n v="3"/>
    <d v="1899-12-30T00:04:40"/>
    <x v="0"/>
    <x v="2"/>
    <x v="1"/>
    <x v="1"/>
    <x v="2"/>
  </r>
  <r>
    <x v="0"/>
    <n v="10"/>
    <x v="3"/>
    <x v="1"/>
    <x v="0"/>
    <x v="3"/>
    <n v="11000000"/>
    <n v="2"/>
    <d v="1899-12-30T00:04:40"/>
    <x v="2"/>
    <x v="0"/>
    <x v="2"/>
    <x v="1"/>
    <x v="15"/>
  </r>
  <r>
    <x v="0"/>
    <n v="24"/>
    <x v="3"/>
    <x v="0"/>
    <x v="2"/>
    <x v="3"/>
    <n v="20000000"/>
    <n v="1"/>
    <d v="1899-12-30T00:04:40"/>
    <x v="2"/>
    <x v="0"/>
    <x v="2"/>
    <x v="3"/>
    <x v="4"/>
  </r>
  <r>
    <x v="0"/>
    <n v="26"/>
    <x v="3"/>
    <x v="1"/>
    <x v="2"/>
    <x v="4"/>
    <n v="20000000"/>
    <n v="2"/>
    <d v="1899-12-30T00:04:40"/>
    <x v="0"/>
    <x v="0"/>
    <x v="2"/>
    <x v="0"/>
    <x v="5"/>
  </r>
  <r>
    <x v="0"/>
    <n v="1"/>
    <x v="3"/>
    <x v="2"/>
    <x v="3"/>
    <x v="3"/>
    <n v="20000000"/>
    <n v="2"/>
    <d v="1899-12-30T00:04:40"/>
    <x v="0"/>
    <x v="4"/>
    <x v="3"/>
    <x v="0"/>
    <x v="10"/>
  </r>
  <r>
    <x v="0"/>
    <n v="30"/>
    <x v="3"/>
    <x v="4"/>
    <x v="3"/>
    <x v="0"/>
    <n v="7000000"/>
    <n v="3"/>
    <d v="1899-12-30T00:04:40"/>
    <x v="0"/>
    <x v="5"/>
    <x v="3"/>
    <x v="2"/>
    <x v="8"/>
  </r>
  <r>
    <x v="0"/>
    <n v="8"/>
    <x v="3"/>
    <x v="2"/>
    <x v="1"/>
    <x v="4"/>
    <n v="25000000"/>
    <n v="4"/>
    <d v="1899-12-30T00:04:40"/>
    <x v="0"/>
    <x v="1"/>
    <x v="0"/>
    <x v="2"/>
    <x v="11"/>
  </r>
  <r>
    <x v="0"/>
    <n v="11"/>
    <x v="3"/>
    <x v="0"/>
    <x v="2"/>
    <x v="1"/>
    <n v="15000000"/>
    <n v="3"/>
    <d v="1899-12-30T00:04:40"/>
    <x v="0"/>
    <x v="4"/>
    <x v="1"/>
    <x v="0"/>
    <x v="10"/>
  </r>
  <r>
    <x v="0"/>
    <n v="11"/>
    <x v="3"/>
    <x v="3"/>
    <x v="2"/>
    <x v="1"/>
    <n v="15000000"/>
    <n v="1"/>
    <d v="1899-12-30T00:04:40"/>
    <x v="0"/>
    <x v="3"/>
    <x v="6"/>
    <x v="0"/>
    <x v="5"/>
  </r>
  <r>
    <x v="0"/>
    <n v="9"/>
    <x v="4"/>
    <x v="3"/>
    <x v="1"/>
    <x v="0"/>
    <n v="19000000"/>
    <n v="5"/>
    <d v="1899-12-30T00:04:40"/>
    <x v="1"/>
    <x v="2"/>
    <x v="7"/>
    <x v="2"/>
    <x v="8"/>
  </r>
  <r>
    <x v="0"/>
    <n v="22"/>
    <x v="4"/>
    <x v="2"/>
    <x v="2"/>
    <x v="0"/>
    <n v="19000000"/>
    <n v="1"/>
    <d v="1899-12-30T00:04:40"/>
    <x v="1"/>
    <x v="8"/>
    <x v="7"/>
    <x v="1"/>
    <x v="2"/>
  </r>
  <r>
    <x v="0"/>
    <n v="12"/>
    <x v="4"/>
    <x v="1"/>
    <x v="2"/>
    <x v="3"/>
    <n v="20000000"/>
    <n v="2"/>
    <d v="1899-12-30T00:04:40"/>
    <x v="0"/>
    <x v="2"/>
    <x v="3"/>
    <x v="0"/>
    <x v="7"/>
  </r>
  <r>
    <x v="0"/>
    <n v="22"/>
    <x v="4"/>
    <x v="2"/>
    <x v="2"/>
    <x v="1"/>
    <n v="15000000"/>
    <n v="1"/>
    <d v="1899-12-30T00:04:40"/>
    <x v="0"/>
    <x v="0"/>
    <x v="6"/>
    <x v="0"/>
    <x v="10"/>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1"/>
    <n v="15"/>
    <x v="7"/>
    <x v="3"/>
    <x v="0"/>
    <x v="5"/>
    <n v="0"/>
    <n v="2"/>
    <d v="1899-12-30T00:04:40"/>
    <x v="3"/>
    <x v="9"/>
    <x v="5"/>
    <x v="1"/>
    <x v="1"/>
  </r>
  <r>
    <x v="1"/>
    <n v="11"/>
    <x v="8"/>
    <x v="0"/>
    <x v="2"/>
    <x v="5"/>
    <n v="0"/>
    <n v="5"/>
    <d v="1899-12-30T00:04:40"/>
    <x v="3"/>
    <x v="9"/>
    <x v="3"/>
    <x v="3"/>
    <x v="13"/>
  </r>
  <r>
    <x v="1"/>
    <n v="14"/>
    <x v="1"/>
    <x v="1"/>
    <x v="2"/>
    <x v="5"/>
    <n v="0"/>
    <n v="4"/>
    <d v="1899-12-30T00:04:40"/>
    <x v="3"/>
    <x v="9"/>
    <x v="5"/>
    <x v="0"/>
    <x v="5"/>
  </r>
  <r>
    <x v="1"/>
    <n v="24"/>
    <x v="2"/>
    <x v="5"/>
    <x v="2"/>
    <x v="5"/>
    <n v="0"/>
    <n v="3"/>
    <d v="1899-12-30T00:04:40"/>
    <x v="3"/>
    <x v="9"/>
    <x v="0"/>
    <x v="0"/>
    <x v="10"/>
  </r>
  <r>
    <x v="1"/>
    <n v="1"/>
    <x v="3"/>
    <x v="0"/>
    <x v="2"/>
    <x v="5"/>
    <n v="0"/>
    <n v="1"/>
    <d v="1899-12-30T00:04:40"/>
    <x v="3"/>
    <x v="9"/>
    <x v="5"/>
    <x v="1"/>
    <x v="6"/>
  </r>
  <r>
    <x v="1"/>
    <n v="19"/>
    <x v="10"/>
    <x v="2"/>
    <x v="2"/>
    <x v="5"/>
    <n v="0"/>
    <n v="2"/>
    <d v="1899-12-30T00:04:40"/>
    <x v="3"/>
    <x v="9"/>
    <x v="2"/>
    <x v="3"/>
    <x v="13"/>
  </r>
  <r>
    <x v="1"/>
    <n v="15"/>
    <x v="7"/>
    <x v="3"/>
    <x v="0"/>
    <x v="5"/>
    <n v="0"/>
    <n v="2"/>
    <d v="1899-12-30T00:04:40"/>
    <x v="3"/>
    <x v="9"/>
    <x v="5"/>
    <x v="1"/>
    <x v="1"/>
  </r>
  <r>
    <x v="1"/>
    <n v="11"/>
    <x v="8"/>
    <x v="0"/>
    <x v="2"/>
    <x v="5"/>
    <n v="0"/>
    <n v="5"/>
    <d v="1899-12-30T00:04:40"/>
    <x v="3"/>
    <x v="9"/>
    <x v="3"/>
    <x v="3"/>
    <x v="13"/>
  </r>
  <r>
    <x v="0"/>
    <n v="19"/>
    <x v="1"/>
    <x v="1"/>
    <x v="3"/>
    <x v="0"/>
    <n v="7000000"/>
    <n v="5"/>
    <d v="1899-12-30T00:04:45"/>
    <x v="0"/>
    <x v="1"/>
    <x v="6"/>
    <x v="0"/>
    <x v="7"/>
  </r>
  <r>
    <x v="0"/>
    <n v="5"/>
    <x v="2"/>
    <x v="2"/>
    <x v="2"/>
    <x v="3"/>
    <n v="15000000"/>
    <n v="3"/>
    <d v="1899-12-30T00:04:45"/>
    <x v="0"/>
    <x v="0"/>
    <x v="3"/>
    <x v="3"/>
    <x v="13"/>
  </r>
  <r>
    <x v="0"/>
    <n v="11"/>
    <x v="3"/>
    <x v="0"/>
    <x v="3"/>
    <x v="2"/>
    <n v="38000000"/>
    <n v="1"/>
    <d v="1899-12-30T00:04:45"/>
    <x v="1"/>
    <x v="0"/>
    <x v="4"/>
    <x v="0"/>
    <x v="7"/>
  </r>
  <r>
    <x v="0"/>
    <n v="1"/>
    <x v="3"/>
    <x v="4"/>
    <x v="0"/>
    <x v="1"/>
    <n v="15000000"/>
    <n v="1"/>
    <d v="1899-12-30T00:04:45"/>
    <x v="0"/>
    <x v="4"/>
    <x v="2"/>
    <x v="3"/>
    <x v="4"/>
  </r>
  <r>
    <x v="0"/>
    <n v="21"/>
    <x v="3"/>
    <x v="1"/>
    <x v="0"/>
    <x v="4"/>
    <n v="20000000"/>
    <n v="5"/>
    <d v="1899-12-30T00:04:45"/>
    <x v="0"/>
    <x v="7"/>
    <x v="0"/>
    <x v="1"/>
    <x v="2"/>
  </r>
  <r>
    <x v="0"/>
    <n v="27"/>
    <x v="4"/>
    <x v="3"/>
    <x v="2"/>
    <x v="1"/>
    <n v="11000000"/>
    <n v="3"/>
    <d v="1899-12-30T00:04:45"/>
    <x v="0"/>
    <x v="7"/>
    <x v="6"/>
    <x v="2"/>
    <x v="3"/>
  </r>
  <r>
    <x v="0"/>
    <n v="28"/>
    <x v="4"/>
    <x v="3"/>
    <x v="1"/>
    <x v="2"/>
    <n v="12000000"/>
    <n v="3"/>
    <d v="1899-12-30T00:04:45"/>
    <x v="0"/>
    <x v="4"/>
    <x v="7"/>
    <x v="0"/>
    <x v="9"/>
  </r>
  <r>
    <x v="0"/>
    <n v="11"/>
    <x v="10"/>
    <x v="3"/>
    <x v="1"/>
    <x v="0"/>
    <n v="19000000"/>
    <n v="1"/>
    <d v="1899-12-30T00:04:45"/>
    <x v="1"/>
    <x v="2"/>
    <x v="2"/>
    <x v="0"/>
    <x v="12"/>
  </r>
  <r>
    <x v="0"/>
    <n v="25"/>
    <x v="10"/>
    <x v="0"/>
    <x v="1"/>
    <x v="2"/>
    <n v="12000000"/>
    <n v="1"/>
    <d v="1899-12-30T00:04:45"/>
    <x v="0"/>
    <x v="7"/>
    <x v="5"/>
    <x v="2"/>
    <x v="8"/>
  </r>
  <r>
    <x v="0"/>
    <n v="23"/>
    <x v="10"/>
    <x v="0"/>
    <x v="0"/>
    <x v="2"/>
    <n v="12000000"/>
    <n v="1"/>
    <d v="1899-12-30T00:04:45"/>
    <x v="0"/>
    <x v="8"/>
    <x v="6"/>
    <x v="1"/>
    <x v="1"/>
  </r>
  <r>
    <x v="0"/>
    <n v="19"/>
    <x v="1"/>
    <x v="1"/>
    <x v="3"/>
    <x v="0"/>
    <n v="7000000"/>
    <n v="5"/>
    <d v="1899-12-30T00:04:45"/>
    <x v="0"/>
    <x v="1"/>
    <x v="6"/>
    <x v="0"/>
    <x v="7"/>
  </r>
  <r>
    <x v="1"/>
    <n v="11"/>
    <x v="5"/>
    <x v="3"/>
    <x v="1"/>
    <x v="5"/>
    <n v="0"/>
    <n v="4"/>
    <d v="1899-12-30T00:04:45"/>
    <x v="3"/>
    <x v="9"/>
    <x v="2"/>
    <x v="2"/>
    <x v="11"/>
  </r>
  <r>
    <x v="1"/>
    <n v="19"/>
    <x v="2"/>
    <x v="0"/>
    <x v="2"/>
    <x v="5"/>
    <n v="0"/>
    <n v="6"/>
    <d v="1899-12-30T00:04:45"/>
    <x v="3"/>
    <x v="9"/>
    <x v="2"/>
    <x v="1"/>
    <x v="14"/>
  </r>
  <r>
    <x v="1"/>
    <n v="18"/>
    <x v="4"/>
    <x v="5"/>
    <x v="2"/>
    <x v="5"/>
    <n v="0"/>
    <n v="4"/>
    <d v="1899-12-30T00:04:45"/>
    <x v="3"/>
    <x v="9"/>
    <x v="7"/>
    <x v="3"/>
    <x v="13"/>
  </r>
  <r>
    <x v="1"/>
    <n v="11"/>
    <x v="5"/>
    <x v="3"/>
    <x v="1"/>
    <x v="5"/>
    <n v="0"/>
    <n v="4"/>
    <d v="1899-12-30T00:04:45"/>
    <x v="3"/>
    <x v="9"/>
    <x v="2"/>
    <x v="2"/>
    <x v="11"/>
  </r>
  <r>
    <x v="0"/>
    <n v="13"/>
    <x v="5"/>
    <x v="4"/>
    <x v="2"/>
    <x v="2"/>
    <n v="12000000"/>
    <n v="1"/>
    <d v="1899-12-30T00:04:48"/>
    <x v="0"/>
    <x v="7"/>
    <x v="2"/>
    <x v="1"/>
    <x v="1"/>
  </r>
  <r>
    <x v="0"/>
    <n v="1"/>
    <x v="8"/>
    <x v="4"/>
    <x v="1"/>
    <x v="3"/>
    <n v="20000000"/>
    <n v="4"/>
    <d v="1899-12-30T00:04:48"/>
    <x v="2"/>
    <x v="8"/>
    <x v="5"/>
    <x v="0"/>
    <x v="10"/>
  </r>
  <r>
    <x v="0"/>
    <n v="12"/>
    <x v="2"/>
    <x v="4"/>
    <x v="0"/>
    <x v="2"/>
    <n v="10000000"/>
    <n v="5"/>
    <d v="1899-12-30T00:04:48"/>
    <x v="0"/>
    <x v="3"/>
    <x v="7"/>
    <x v="3"/>
    <x v="13"/>
  </r>
  <r>
    <x v="0"/>
    <n v="13"/>
    <x v="3"/>
    <x v="0"/>
    <x v="1"/>
    <x v="0"/>
    <n v="19000000"/>
    <n v="4"/>
    <d v="1899-12-30T00:04:48"/>
    <x v="1"/>
    <x v="7"/>
    <x v="3"/>
    <x v="1"/>
    <x v="2"/>
  </r>
  <r>
    <x v="0"/>
    <n v="8"/>
    <x v="3"/>
    <x v="4"/>
    <x v="1"/>
    <x v="1"/>
    <n v="15000000"/>
    <n v="3"/>
    <d v="1899-12-30T00:04:48"/>
    <x v="0"/>
    <x v="0"/>
    <x v="4"/>
    <x v="0"/>
    <x v="5"/>
  </r>
  <r>
    <x v="0"/>
    <n v="17"/>
    <x v="4"/>
    <x v="0"/>
    <x v="2"/>
    <x v="2"/>
    <n v="12000000"/>
    <n v="3"/>
    <d v="1899-12-30T00:04:48"/>
    <x v="0"/>
    <x v="2"/>
    <x v="4"/>
    <x v="3"/>
    <x v="13"/>
  </r>
  <r>
    <x v="0"/>
    <n v="12"/>
    <x v="4"/>
    <x v="1"/>
    <x v="2"/>
    <x v="1"/>
    <n v="15000000"/>
    <n v="1"/>
    <d v="1899-12-30T00:04:48"/>
    <x v="0"/>
    <x v="4"/>
    <x v="6"/>
    <x v="1"/>
    <x v="6"/>
  </r>
  <r>
    <x v="0"/>
    <n v="16"/>
    <x v="10"/>
    <x v="5"/>
    <x v="1"/>
    <x v="4"/>
    <n v="25000000"/>
    <n v="2"/>
    <d v="1899-12-30T00:04:48"/>
    <x v="0"/>
    <x v="0"/>
    <x v="1"/>
    <x v="2"/>
    <x v="11"/>
  </r>
  <r>
    <x v="0"/>
    <n v="13"/>
    <x v="5"/>
    <x v="4"/>
    <x v="2"/>
    <x v="2"/>
    <n v="12000000"/>
    <n v="1"/>
    <d v="1899-12-30T00:04:48"/>
    <x v="0"/>
    <x v="7"/>
    <x v="2"/>
    <x v="1"/>
    <x v="1"/>
  </r>
  <r>
    <x v="0"/>
    <n v="1"/>
    <x v="8"/>
    <x v="4"/>
    <x v="1"/>
    <x v="3"/>
    <n v="20000000"/>
    <n v="4"/>
    <d v="1899-12-30T00:04:48"/>
    <x v="2"/>
    <x v="8"/>
    <x v="5"/>
    <x v="0"/>
    <x v="10"/>
  </r>
  <r>
    <x v="1"/>
    <n v="12"/>
    <x v="9"/>
    <x v="0"/>
    <x v="2"/>
    <x v="5"/>
    <n v="0"/>
    <n v="2"/>
    <d v="1899-12-30T00:04:48"/>
    <x v="3"/>
    <x v="9"/>
    <x v="0"/>
    <x v="2"/>
    <x v="3"/>
  </r>
  <r>
    <x v="1"/>
    <n v="6"/>
    <x v="2"/>
    <x v="0"/>
    <x v="1"/>
    <x v="5"/>
    <n v="0"/>
    <n v="1"/>
    <d v="1899-12-30T00:04:48"/>
    <x v="3"/>
    <x v="9"/>
    <x v="3"/>
    <x v="1"/>
    <x v="14"/>
  </r>
  <r>
    <x v="1"/>
    <n v="17"/>
    <x v="2"/>
    <x v="0"/>
    <x v="2"/>
    <x v="5"/>
    <n v="0"/>
    <n v="4"/>
    <d v="1899-12-30T00:04:48"/>
    <x v="3"/>
    <x v="9"/>
    <x v="0"/>
    <x v="0"/>
    <x v="12"/>
  </r>
  <r>
    <x v="1"/>
    <n v="11"/>
    <x v="4"/>
    <x v="4"/>
    <x v="0"/>
    <x v="5"/>
    <n v="0"/>
    <n v="2"/>
    <d v="1899-12-30T00:04:48"/>
    <x v="3"/>
    <x v="9"/>
    <x v="6"/>
    <x v="0"/>
    <x v="9"/>
  </r>
  <r>
    <x v="1"/>
    <n v="12"/>
    <x v="9"/>
    <x v="0"/>
    <x v="2"/>
    <x v="5"/>
    <n v="0"/>
    <n v="2"/>
    <d v="1899-12-30T00:04:48"/>
    <x v="3"/>
    <x v="9"/>
    <x v="0"/>
    <x v="2"/>
    <x v="3"/>
  </r>
  <r>
    <x v="0"/>
    <n v="18"/>
    <x v="6"/>
    <x v="1"/>
    <x v="2"/>
    <x v="4"/>
    <n v="20000000"/>
    <n v="1"/>
    <d v="1899-12-30T00:05:12"/>
    <x v="0"/>
    <x v="8"/>
    <x v="7"/>
    <x v="2"/>
    <x v="3"/>
  </r>
  <r>
    <x v="0"/>
    <n v="11"/>
    <x v="3"/>
    <x v="0"/>
    <x v="1"/>
    <x v="2"/>
    <n v="38000000"/>
    <n v="2"/>
    <d v="1899-12-30T00:05:12"/>
    <x v="1"/>
    <x v="1"/>
    <x v="5"/>
    <x v="3"/>
    <x v="13"/>
  </r>
  <r>
    <x v="0"/>
    <n v="23"/>
    <x v="3"/>
    <x v="0"/>
    <x v="0"/>
    <x v="0"/>
    <n v="19000000"/>
    <n v="2"/>
    <d v="1899-12-30T00:05:12"/>
    <x v="1"/>
    <x v="7"/>
    <x v="0"/>
    <x v="0"/>
    <x v="5"/>
  </r>
  <r>
    <x v="0"/>
    <n v="28"/>
    <x v="3"/>
    <x v="4"/>
    <x v="2"/>
    <x v="0"/>
    <n v="7000000"/>
    <n v="4"/>
    <d v="1899-12-30T00:05:12"/>
    <x v="0"/>
    <x v="4"/>
    <x v="5"/>
    <x v="0"/>
    <x v="9"/>
  </r>
  <r>
    <x v="0"/>
    <n v="30"/>
    <x v="3"/>
    <x v="0"/>
    <x v="1"/>
    <x v="1"/>
    <n v="12000000"/>
    <n v="1"/>
    <d v="1899-12-30T00:05:12"/>
    <x v="0"/>
    <x v="0"/>
    <x v="6"/>
    <x v="0"/>
    <x v="5"/>
  </r>
  <r>
    <x v="0"/>
    <n v="22"/>
    <x v="4"/>
    <x v="2"/>
    <x v="2"/>
    <x v="3"/>
    <n v="20000000"/>
    <n v="2"/>
    <d v="1899-12-30T00:05:12"/>
    <x v="2"/>
    <x v="0"/>
    <x v="2"/>
    <x v="1"/>
    <x v="2"/>
  </r>
  <r>
    <x v="0"/>
    <n v="1"/>
    <x v="4"/>
    <x v="2"/>
    <x v="0"/>
    <x v="4"/>
    <n v="25000000"/>
    <n v="2"/>
    <d v="1899-12-30T00:05:12"/>
    <x v="0"/>
    <x v="2"/>
    <x v="4"/>
    <x v="2"/>
    <x v="11"/>
  </r>
  <r>
    <x v="0"/>
    <n v="24"/>
    <x v="10"/>
    <x v="5"/>
    <x v="1"/>
    <x v="1"/>
    <n v="11000000"/>
    <n v="4"/>
    <d v="1899-12-30T00:05:12"/>
    <x v="0"/>
    <x v="7"/>
    <x v="3"/>
    <x v="0"/>
    <x v="7"/>
  </r>
  <r>
    <x v="0"/>
    <n v="18"/>
    <x v="6"/>
    <x v="1"/>
    <x v="2"/>
    <x v="4"/>
    <n v="20000000"/>
    <n v="1"/>
    <d v="1899-12-30T00:05:12"/>
    <x v="0"/>
    <x v="8"/>
    <x v="7"/>
    <x v="2"/>
    <x v="3"/>
  </r>
  <r>
    <x v="1"/>
    <n v="3"/>
    <x v="5"/>
    <x v="2"/>
    <x v="1"/>
    <x v="5"/>
    <n v="0"/>
    <n v="1"/>
    <d v="1899-12-30T00:05:12"/>
    <x v="3"/>
    <x v="9"/>
    <x v="1"/>
    <x v="0"/>
    <x v="7"/>
  </r>
  <r>
    <x v="1"/>
    <n v="22"/>
    <x v="2"/>
    <x v="3"/>
    <x v="4"/>
    <x v="5"/>
    <n v="0"/>
    <n v="6"/>
    <d v="1899-12-30T00:05:12"/>
    <x v="3"/>
    <x v="9"/>
    <x v="2"/>
    <x v="0"/>
    <x v="7"/>
  </r>
  <r>
    <x v="1"/>
    <n v="5"/>
    <x v="3"/>
    <x v="3"/>
    <x v="1"/>
    <x v="5"/>
    <n v="0"/>
    <n v="3"/>
    <d v="1899-12-30T00:05:12"/>
    <x v="3"/>
    <x v="9"/>
    <x v="2"/>
    <x v="1"/>
    <x v="15"/>
  </r>
  <r>
    <x v="1"/>
    <n v="20"/>
    <x v="4"/>
    <x v="2"/>
    <x v="3"/>
    <x v="5"/>
    <n v="0"/>
    <n v="3"/>
    <d v="1899-12-30T00:05:12"/>
    <x v="3"/>
    <x v="9"/>
    <x v="0"/>
    <x v="1"/>
    <x v="6"/>
  </r>
  <r>
    <x v="1"/>
    <n v="29"/>
    <x v="4"/>
    <x v="2"/>
    <x v="1"/>
    <x v="5"/>
    <n v="0"/>
    <n v="2"/>
    <d v="1899-12-30T00:05:12"/>
    <x v="3"/>
    <x v="9"/>
    <x v="6"/>
    <x v="3"/>
    <x v="13"/>
  </r>
  <r>
    <x v="1"/>
    <n v="3"/>
    <x v="5"/>
    <x v="2"/>
    <x v="1"/>
    <x v="5"/>
    <n v="0"/>
    <n v="1"/>
    <d v="1899-12-30T00:05:12"/>
    <x v="3"/>
    <x v="9"/>
    <x v="1"/>
    <x v="0"/>
    <x v="7"/>
  </r>
  <r>
    <x v="0"/>
    <n v="1"/>
    <x v="8"/>
    <x v="5"/>
    <x v="2"/>
    <x v="2"/>
    <n v="12000000"/>
    <n v="3"/>
    <d v="1899-12-30T00:05:14"/>
    <x v="0"/>
    <x v="0"/>
    <x v="3"/>
    <x v="1"/>
    <x v="1"/>
  </r>
  <r>
    <x v="0"/>
    <n v="17"/>
    <x v="1"/>
    <x v="5"/>
    <x v="2"/>
    <x v="2"/>
    <n v="12000000"/>
    <n v="4"/>
    <d v="1899-12-30T00:05:14"/>
    <x v="0"/>
    <x v="2"/>
    <x v="5"/>
    <x v="2"/>
    <x v="8"/>
  </r>
  <r>
    <x v="0"/>
    <n v="9"/>
    <x v="2"/>
    <x v="3"/>
    <x v="2"/>
    <x v="4"/>
    <n v="25000000"/>
    <n v="2"/>
    <d v="1899-12-30T00:05:14"/>
    <x v="0"/>
    <x v="3"/>
    <x v="3"/>
    <x v="0"/>
    <x v="10"/>
  </r>
  <r>
    <x v="0"/>
    <n v="29"/>
    <x v="2"/>
    <x v="0"/>
    <x v="3"/>
    <x v="0"/>
    <n v="7000000"/>
    <n v="4"/>
    <d v="1899-12-30T00:05:14"/>
    <x v="0"/>
    <x v="2"/>
    <x v="6"/>
    <x v="2"/>
    <x v="3"/>
  </r>
  <r>
    <x v="0"/>
    <n v="11"/>
    <x v="3"/>
    <x v="2"/>
    <x v="2"/>
    <x v="2"/>
    <n v="38000000"/>
    <n v="3"/>
    <d v="1899-12-30T00:05:14"/>
    <x v="1"/>
    <x v="4"/>
    <x v="5"/>
    <x v="0"/>
    <x v="5"/>
  </r>
  <r>
    <x v="0"/>
    <n v="17"/>
    <x v="3"/>
    <x v="1"/>
    <x v="0"/>
    <x v="0"/>
    <n v="19000000"/>
    <n v="2"/>
    <d v="1899-12-30T00:05:14"/>
    <x v="1"/>
    <x v="1"/>
    <x v="1"/>
    <x v="1"/>
    <x v="1"/>
  </r>
  <r>
    <x v="0"/>
    <n v="4"/>
    <x v="3"/>
    <x v="0"/>
    <x v="2"/>
    <x v="3"/>
    <n v="15000000"/>
    <n v="5"/>
    <d v="1899-12-30T00:05:14"/>
    <x v="0"/>
    <x v="2"/>
    <x v="4"/>
    <x v="0"/>
    <x v="12"/>
  </r>
  <r>
    <x v="0"/>
    <n v="1"/>
    <x v="3"/>
    <x v="3"/>
    <x v="0"/>
    <x v="1"/>
    <n v="15000000"/>
    <n v="5"/>
    <d v="1899-12-30T00:05:14"/>
    <x v="0"/>
    <x v="2"/>
    <x v="0"/>
    <x v="0"/>
    <x v="7"/>
  </r>
  <r>
    <x v="0"/>
    <n v="11"/>
    <x v="4"/>
    <x v="0"/>
    <x v="2"/>
    <x v="1"/>
    <n v="11000000"/>
    <n v="1"/>
    <d v="1899-12-30T00:05:14"/>
    <x v="0"/>
    <x v="0"/>
    <x v="3"/>
    <x v="1"/>
    <x v="1"/>
  </r>
  <r>
    <x v="0"/>
    <n v="4"/>
    <x v="4"/>
    <x v="0"/>
    <x v="1"/>
    <x v="2"/>
    <n v="12000000"/>
    <n v="1"/>
    <d v="1899-12-30T00:05:14"/>
    <x v="0"/>
    <x v="1"/>
    <x v="5"/>
    <x v="3"/>
    <x v="4"/>
  </r>
  <r>
    <x v="0"/>
    <n v="1"/>
    <x v="8"/>
    <x v="5"/>
    <x v="2"/>
    <x v="2"/>
    <n v="12000000"/>
    <n v="3"/>
    <d v="1899-12-30T00:05:14"/>
    <x v="0"/>
    <x v="0"/>
    <x v="3"/>
    <x v="1"/>
    <x v="1"/>
  </r>
  <r>
    <x v="0"/>
    <n v="17"/>
    <x v="1"/>
    <x v="5"/>
    <x v="2"/>
    <x v="2"/>
    <n v="12000000"/>
    <n v="4"/>
    <d v="1899-12-30T00:05:14"/>
    <x v="0"/>
    <x v="2"/>
    <x v="5"/>
    <x v="2"/>
    <x v="8"/>
  </r>
  <r>
    <x v="1"/>
    <n v="11"/>
    <x v="1"/>
    <x v="0"/>
    <x v="0"/>
    <x v="5"/>
    <n v="0"/>
    <n v="1"/>
    <d v="1899-12-30T00:05:14"/>
    <x v="3"/>
    <x v="9"/>
    <x v="0"/>
    <x v="1"/>
    <x v="14"/>
  </r>
  <r>
    <x v="1"/>
    <n v="12"/>
    <x v="1"/>
    <x v="4"/>
    <x v="2"/>
    <x v="5"/>
    <n v="0"/>
    <n v="1"/>
    <d v="1899-12-30T00:05:14"/>
    <x v="3"/>
    <x v="9"/>
    <x v="2"/>
    <x v="1"/>
    <x v="1"/>
  </r>
  <r>
    <x v="1"/>
    <n v="25"/>
    <x v="3"/>
    <x v="4"/>
    <x v="1"/>
    <x v="5"/>
    <n v="0"/>
    <n v="1"/>
    <d v="1899-12-30T00:05:14"/>
    <x v="3"/>
    <x v="9"/>
    <x v="7"/>
    <x v="0"/>
    <x v="5"/>
  </r>
  <r>
    <x v="0"/>
    <n v="8"/>
    <x v="5"/>
    <x v="2"/>
    <x v="0"/>
    <x v="1"/>
    <n v="15000000"/>
    <n v="5"/>
    <d v="1899-12-30T00:05:15"/>
    <x v="0"/>
    <x v="7"/>
    <x v="1"/>
    <x v="0"/>
    <x v="7"/>
  </r>
  <r>
    <x v="0"/>
    <n v="12"/>
    <x v="9"/>
    <x v="2"/>
    <x v="0"/>
    <x v="4"/>
    <n v="25000000"/>
    <n v="1"/>
    <d v="1899-12-30T00:05:15"/>
    <x v="0"/>
    <x v="8"/>
    <x v="5"/>
    <x v="1"/>
    <x v="6"/>
  </r>
  <r>
    <x v="0"/>
    <n v="30"/>
    <x v="2"/>
    <x v="2"/>
    <x v="2"/>
    <x v="3"/>
    <n v="20000000"/>
    <n v="3"/>
    <d v="1899-12-30T00:05:15"/>
    <x v="0"/>
    <x v="0"/>
    <x v="4"/>
    <x v="2"/>
    <x v="3"/>
  </r>
  <r>
    <x v="0"/>
    <n v="18"/>
    <x v="4"/>
    <x v="4"/>
    <x v="0"/>
    <x v="3"/>
    <n v="11000000"/>
    <n v="1"/>
    <d v="1899-12-30T00:05:15"/>
    <x v="2"/>
    <x v="4"/>
    <x v="6"/>
    <x v="1"/>
    <x v="6"/>
  </r>
  <r>
    <x v="0"/>
    <n v="3"/>
    <x v="4"/>
    <x v="1"/>
    <x v="2"/>
    <x v="2"/>
    <n v="12000000"/>
    <n v="4"/>
    <d v="1899-12-30T00:05:15"/>
    <x v="0"/>
    <x v="3"/>
    <x v="4"/>
    <x v="0"/>
    <x v="9"/>
  </r>
  <r>
    <x v="0"/>
    <n v="7"/>
    <x v="4"/>
    <x v="1"/>
    <x v="2"/>
    <x v="1"/>
    <n v="15000000"/>
    <n v="5"/>
    <d v="1899-12-30T00:05:15"/>
    <x v="0"/>
    <x v="7"/>
    <x v="3"/>
    <x v="1"/>
    <x v="2"/>
  </r>
  <r>
    <x v="0"/>
    <n v="19"/>
    <x v="4"/>
    <x v="4"/>
    <x v="1"/>
    <x v="1"/>
    <n v="15000000"/>
    <n v="3"/>
    <d v="1899-12-30T00:05:15"/>
    <x v="0"/>
    <x v="2"/>
    <x v="2"/>
    <x v="0"/>
    <x v="5"/>
  </r>
  <r>
    <x v="0"/>
    <n v="13"/>
    <x v="10"/>
    <x v="0"/>
    <x v="3"/>
    <x v="2"/>
    <n v="38000000"/>
    <n v="2"/>
    <d v="1899-12-30T00:05:15"/>
    <x v="1"/>
    <x v="4"/>
    <x v="0"/>
    <x v="3"/>
    <x v="13"/>
  </r>
  <r>
    <x v="0"/>
    <n v="14"/>
    <x v="10"/>
    <x v="1"/>
    <x v="0"/>
    <x v="2"/>
    <n v="12000000"/>
    <n v="2"/>
    <d v="1899-12-30T00:05:15"/>
    <x v="0"/>
    <x v="1"/>
    <x v="5"/>
    <x v="1"/>
    <x v="2"/>
  </r>
  <r>
    <x v="0"/>
    <n v="8"/>
    <x v="5"/>
    <x v="2"/>
    <x v="0"/>
    <x v="1"/>
    <n v="15000000"/>
    <n v="5"/>
    <d v="1899-12-30T00:05:15"/>
    <x v="0"/>
    <x v="7"/>
    <x v="1"/>
    <x v="0"/>
    <x v="7"/>
  </r>
  <r>
    <x v="0"/>
    <n v="12"/>
    <x v="9"/>
    <x v="2"/>
    <x v="0"/>
    <x v="4"/>
    <n v="25000000"/>
    <n v="1"/>
    <d v="1899-12-30T00:05:15"/>
    <x v="0"/>
    <x v="8"/>
    <x v="5"/>
    <x v="1"/>
    <x v="6"/>
  </r>
  <r>
    <x v="1"/>
    <n v="29"/>
    <x v="8"/>
    <x v="1"/>
    <x v="0"/>
    <x v="5"/>
    <n v="0"/>
    <n v="2"/>
    <d v="1899-12-30T00:05:15"/>
    <x v="3"/>
    <x v="9"/>
    <x v="3"/>
    <x v="2"/>
    <x v="8"/>
  </r>
  <r>
    <x v="1"/>
    <n v="5"/>
    <x v="3"/>
    <x v="2"/>
    <x v="0"/>
    <x v="5"/>
    <n v="0"/>
    <n v="5"/>
    <d v="1899-12-30T00:05:15"/>
    <x v="3"/>
    <x v="9"/>
    <x v="6"/>
    <x v="0"/>
    <x v="5"/>
  </r>
  <r>
    <x v="1"/>
    <n v="10"/>
    <x v="10"/>
    <x v="0"/>
    <x v="3"/>
    <x v="5"/>
    <n v="0"/>
    <n v="3"/>
    <d v="1899-12-30T00:05:15"/>
    <x v="3"/>
    <x v="9"/>
    <x v="1"/>
    <x v="0"/>
    <x v="0"/>
  </r>
  <r>
    <x v="1"/>
    <n v="5"/>
    <x v="10"/>
    <x v="1"/>
    <x v="2"/>
    <x v="5"/>
    <n v="0"/>
    <n v="5"/>
    <d v="1899-12-30T00:05:15"/>
    <x v="3"/>
    <x v="9"/>
    <x v="7"/>
    <x v="1"/>
    <x v="15"/>
  </r>
  <r>
    <x v="1"/>
    <n v="29"/>
    <x v="8"/>
    <x v="1"/>
    <x v="0"/>
    <x v="5"/>
    <n v="0"/>
    <n v="2"/>
    <d v="1899-12-30T00:05:15"/>
    <x v="3"/>
    <x v="9"/>
    <x v="3"/>
    <x v="2"/>
    <x v="8"/>
  </r>
  <r>
    <x v="0"/>
    <n v="18"/>
    <x v="9"/>
    <x v="0"/>
    <x v="0"/>
    <x v="4"/>
    <n v="25000000"/>
    <n v="5"/>
    <d v="1899-12-30T00:06:15"/>
    <x v="0"/>
    <x v="6"/>
    <x v="3"/>
    <x v="0"/>
    <x v="10"/>
  </r>
  <r>
    <x v="0"/>
    <n v="12"/>
    <x v="1"/>
    <x v="3"/>
    <x v="0"/>
    <x v="1"/>
    <n v="15000000"/>
    <n v="4"/>
    <d v="1899-12-30T00:06:15"/>
    <x v="0"/>
    <x v="5"/>
    <x v="1"/>
    <x v="2"/>
    <x v="3"/>
  </r>
  <r>
    <x v="0"/>
    <n v="30"/>
    <x v="2"/>
    <x v="5"/>
    <x v="2"/>
    <x v="3"/>
    <n v="20000000"/>
    <n v="5"/>
    <d v="1899-12-30T00:06:15"/>
    <x v="2"/>
    <x v="0"/>
    <x v="6"/>
    <x v="3"/>
    <x v="4"/>
  </r>
  <r>
    <x v="0"/>
    <n v="16"/>
    <x v="2"/>
    <x v="5"/>
    <x v="2"/>
    <x v="1"/>
    <n v="12000000"/>
    <n v="2"/>
    <d v="1899-12-30T00:06:15"/>
    <x v="0"/>
    <x v="2"/>
    <x v="4"/>
    <x v="3"/>
    <x v="4"/>
  </r>
  <r>
    <x v="0"/>
    <n v="28"/>
    <x v="2"/>
    <x v="3"/>
    <x v="0"/>
    <x v="2"/>
    <n v="12000000"/>
    <n v="2"/>
    <d v="1899-12-30T00:06:15"/>
    <x v="0"/>
    <x v="3"/>
    <x v="3"/>
    <x v="0"/>
    <x v="7"/>
  </r>
  <r>
    <x v="0"/>
    <n v="7"/>
    <x v="3"/>
    <x v="0"/>
    <x v="0"/>
    <x v="2"/>
    <n v="10000000"/>
    <n v="1"/>
    <d v="1899-12-30T00:06:15"/>
    <x v="0"/>
    <x v="0"/>
    <x v="2"/>
    <x v="2"/>
    <x v="8"/>
  </r>
  <r>
    <x v="0"/>
    <n v="9"/>
    <x v="3"/>
    <x v="0"/>
    <x v="0"/>
    <x v="0"/>
    <n v="7000000"/>
    <n v="4"/>
    <d v="1899-12-30T00:06:15"/>
    <x v="0"/>
    <x v="2"/>
    <x v="4"/>
    <x v="1"/>
    <x v="2"/>
  </r>
  <r>
    <x v="0"/>
    <n v="18"/>
    <x v="3"/>
    <x v="3"/>
    <x v="2"/>
    <x v="1"/>
    <n v="15000000"/>
    <n v="1"/>
    <d v="1899-12-30T00:06:15"/>
    <x v="0"/>
    <x v="7"/>
    <x v="5"/>
    <x v="1"/>
    <x v="2"/>
  </r>
  <r>
    <x v="0"/>
    <n v="4"/>
    <x v="4"/>
    <x v="0"/>
    <x v="2"/>
    <x v="2"/>
    <n v="38000000"/>
    <n v="5"/>
    <d v="1899-12-30T00:06:15"/>
    <x v="1"/>
    <x v="2"/>
    <x v="0"/>
    <x v="1"/>
    <x v="2"/>
  </r>
  <r>
    <x v="0"/>
    <n v="23"/>
    <x v="4"/>
    <x v="0"/>
    <x v="2"/>
    <x v="2"/>
    <n v="12000000"/>
    <n v="2"/>
    <d v="1899-12-30T00:06:15"/>
    <x v="0"/>
    <x v="4"/>
    <x v="5"/>
    <x v="1"/>
    <x v="15"/>
  </r>
  <r>
    <x v="0"/>
    <n v="31"/>
    <x v="10"/>
    <x v="2"/>
    <x v="1"/>
    <x v="0"/>
    <n v="19000000"/>
    <n v="3"/>
    <d v="1899-12-30T00:06:15"/>
    <x v="1"/>
    <x v="1"/>
    <x v="2"/>
    <x v="0"/>
    <x v="7"/>
  </r>
  <r>
    <x v="0"/>
    <n v="18"/>
    <x v="9"/>
    <x v="0"/>
    <x v="0"/>
    <x v="4"/>
    <n v="25000000"/>
    <n v="5"/>
    <d v="1899-12-30T00:06:15"/>
    <x v="0"/>
    <x v="6"/>
    <x v="3"/>
    <x v="0"/>
    <x v="10"/>
  </r>
  <r>
    <x v="1"/>
    <n v="15"/>
    <x v="2"/>
    <x v="2"/>
    <x v="2"/>
    <x v="5"/>
    <n v="0"/>
    <n v="1"/>
    <d v="1899-12-30T00:06:15"/>
    <x v="3"/>
    <x v="9"/>
    <x v="5"/>
    <x v="0"/>
    <x v="7"/>
  </r>
  <r>
    <x v="1"/>
    <n v="15"/>
    <x v="10"/>
    <x v="1"/>
    <x v="2"/>
    <x v="5"/>
    <n v="0"/>
    <n v="1"/>
    <d v="1899-12-30T00:06:15"/>
    <x v="3"/>
    <x v="9"/>
    <x v="7"/>
    <x v="0"/>
    <x v="5"/>
  </r>
  <r>
    <x v="0"/>
    <n v="1"/>
    <x v="8"/>
    <x v="0"/>
    <x v="2"/>
    <x v="4"/>
    <n v="25000000"/>
    <n v="1"/>
    <d v="1899-12-30T00:06:18"/>
    <x v="0"/>
    <x v="0"/>
    <x v="7"/>
    <x v="0"/>
    <x v="9"/>
  </r>
  <r>
    <x v="0"/>
    <n v="7"/>
    <x v="11"/>
    <x v="3"/>
    <x v="2"/>
    <x v="0"/>
    <n v="19000000"/>
    <n v="6"/>
    <d v="1899-12-30T00:06:18"/>
    <x v="1"/>
    <x v="2"/>
    <x v="0"/>
    <x v="0"/>
    <x v="0"/>
  </r>
  <r>
    <x v="0"/>
    <n v="27"/>
    <x v="2"/>
    <x v="2"/>
    <x v="1"/>
    <x v="2"/>
    <n v="38000000"/>
    <n v="3"/>
    <d v="1899-12-30T00:06:18"/>
    <x v="1"/>
    <x v="7"/>
    <x v="3"/>
    <x v="1"/>
    <x v="2"/>
  </r>
  <r>
    <x v="0"/>
    <n v="12"/>
    <x v="2"/>
    <x v="0"/>
    <x v="1"/>
    <x v="0"/>
    <n v="7000000"/>
    <n v="1"/>
    <d v="1899-12-30T00:06:18"/>
    <x v="0"/>
    <x v="7"/>
    <x v="7"/>
    <x v="1"/>
    <x v="15"/>
  </r>
  <r>
    <x v="0"/>
    <n v="11"/>
    <x v="3"/>
    <x v="0"/>
    <x v="1"/>
    <x v="2"/>
    <n v="12000000"/>
    <n v="3"/>
    <d v="1899-12-30T00:06:18"/>
    <x v="0"/>
    <x v="6"/>
    <x v="3"/>
    <x v="3"/>
    <x v="4"/>
  </r>
  <r>
    <x v="0"/>
    <n v="29"/>
    <x v="3"/>
    <x v="0"/>
    <x v="2"/>
    <x v="1"/>
    <n v="12000000"/>
    <n v="5"/>
    <d v="1899-12-30T00:06:18"/>
    <x v="0"/>
    <x v="8"/>
    <x v="3"/>
    <x v="3"/>
    <x v="4"/>
  </r>
  <r>
    <x v="0"/>
    <n v="31"/>
    <x v="3"/>
    <x v="3"/>
    <x v="2"/>
    <x v="1"/>
    <n v="15000000"/>
    <n v="1"/>
    <d v="1899-12-30T00:06:18"/>
    <x v="0"/>
    <x v="3"/>
    <x v="7"/>
    <x v="1"/>
    <x v="2"/>
  </r>
  <r>
    <x v="0"/>
    <n v="22"/>
    <x v="4"/>
    <x v="2"/>
    <x v="1"/>
    <x v="2"/>
    <n v="12000000"/>
    <n v="6"/>
    <d v="1899-12-30T00:06:18"/>
    <x v="0"/>
    <x v="0"/>
    <x v="3"/>
    <x v="2"/>
    <x v="11"/>
  </r>
  <r>
    <x v="0"/>
    <n v="1"/>
    <x v="4"/>
    <x v="4"/>
    <x v="2"/>
    <x v="1"/>
    <n v="15000000"/>
    <n v="3"/>
    <d v="1899-12-30T00:06:18"/>
    <x v="0"/>
    <x v="2"/>
    <x v="5"/>
    <x v="1"/>
    <x v="6"/>
  </r>
  <r>
    <x v="0"/>
    <n v="25"/>
    <x v="10"/>
    <x v="2"/>
    <x v="1"/>
    <x v="3"/>
    <n v="20000000"/>
    <n v="4"/>
    <d v="1899-12-30T00:06:18"/>
    <x v="2"/>
    <x v="7"/>
    <x v="2"/>
    <x v="0"/>
    <x v="7"/>
  </r>
  <r>
    <x v="0"/>
    <n v="1"/>
    <x v="8"/>
    <x v="0"/>
    <x v="2"/>
    <x v="4"/>
    <n v="25000000"/>
    <n v="1"/>
    <d v="1899-12-30T00:06:18"/>
    <x v="0"/>
    <x v="0"/>
    <x v="7"/>
    <x v="0"/>
    <x v="9"/>
  </r>
  <r>
    <x v="0"/>
    <n v="7"/>
    <x v="11"/>
    <x v="3"/>
    <x v="2"/>
    <x v="0"/>
    <n v="19000000"/>
    <n v="6"/>
    <d v="1899-12-30T00:06:18"/>
    <x v="1"/>
    <x v="2"/>
    <x v="0"/>
    <x v="0"/>
    <x v="0"/>
  </r>
  <r>
    <x v="1"/>
    <n v="7"/>
    <x v="3"/>
    <x v="2"/>
    <x v="1"/>
    <x v="5"/>
    <n v="0"/>
    <n v="1"/>
    <d v="1899-12-30T00:06:18"/>
    <x v="3"/>
    <x v="9"/>
    <x v="2"/>
    <x v="0"/>
    <x v="10"/>
  </r>
  <r>
    <x v="1"/>
    <n v="16"/>
    <x v="4"/>
    <x v="0"/>
    <x v="0"/>
    <x v="5"/>
    <n v="0"/>
    <n v="1"/>
    <d v="1899-12-30T00:06:18"/>
    <x v="3"/>
    <x v="9"/>
    <x v="6"/>
    <x v="2"/>
    <x v="8"/>
  </r>
  <r>
    <x v="1"/>
    <n v="11"/>
    <x v="10"/>
    <x v="2"/>
    <x v="1"/>
    <x v="5"/>
    <n v="0"/>
    <n v="2"/>
    <d v="1899-12-30T00:06:18"/>
    <x v="3"/>
    <x v="9"/>
    <x v="4"/>
    <x v="1"/>
    <x v="1"/>
  </r>
  <r>
    <x v="0"/>
    <n v="17"/>
    <x v="6"/>
    <x v="3"/>
    <x v="2"/>
    <x v="3"/>
    <n v="15000000"/>
    <n v="2"/>
    <d v="1899-12-30T00:06:20"/>
    <x v="0"/>
    <x v="8"/>
    <x v="2"/>
    <x v="2"/>
    <x v="11"/>
  </r>
  <r>
    <x v="0"/>
    <n v="27"/>
    <x v="3"/>
    <x v="2"/>
    <x v="2"/>
    <x v="0"/>
    <n v="19000000"/>
    <n v="2"/>
    <d v="1899-12-30T00:06:20"/>
    <x v="1"/>
    <x v="0"/>
    <x v="3"/>
    <x v="1"/>
    <x v="1"/>
  </r>
  <r>
    <x v="0"/>
    <n v="22"/>
    <x v="3"/>
    <x v="0"/>
    <x v="1"/>
    <x v="2"/>
    <n v="38000000"/>
    <n v="1"/>
    <d v="1899-12-30T00:06:20"/>
    <x v="1"/>
    <x v="7"/>
    <x v="7"/>
    <x v="3"/>
    <x v="13"/>
  </r>
  <r>
    <x v="0"/>
    <n v="31"/>
    <x v="3"/>
    <x v="2"/>
    <x v="1"/>
    <x v="3"/>
    <n v="20000000"/>
    <n v="1"/>
    <d v="1899-12-30T00:06:20"/>
    <x v="2"/>
    <x v="6"/>
    <x v="5"/>
    <x v="0"/>
    <x v="9"/>
  </r>
  <r>
    <x v="0"/>
    <n v="10"/>
    <x v="3"/>
    <x v="0"/>
    <x v="1"/>
    <x v="4"/>
    <n v="25000000"/>
    <n v="3"/>
    <d v="1899-12-30T00:06:20"/>
    <x v="0"/>
    <x v="2"/>
    <x v="2"/>
    <x v="1"/>
    <x v="1"/>
  </r>
  <r>
    <x v="0"/>
    <n v="29"/>
    <x v="3"/>
    <x v="0"/>
    <x v="1"/>
    <x v="2"/>
    <n v="10000000"/>
    <n v="1"/>
    <d v="1899-12-30T00:06:20"/>
    <x v="0"/>
    <x v="2"/>
    <x v="7"/>
    <x v="1"/>
    <x v="1"/>
  </r>
  <r>
    <x v="0"/>
    <n v="22"/>
    <x v="4"/>
    <x v="2"/>
    <x v="1"/>
    <x v="1"/>
    <n v="15000000"/>
    <n v="5"/>
    <d v="1899-12-30T00:06:20"/>
    <x v="0"/>
    <x v="0"/>
    <x v="6"/>
    <x v="0"/>
    <x v="0"/>
  </r>
  <r>
    <x v="0"/>
    <n v="17"/>
    <x v="10"/>
    <x v="5"/>
    <x v="3"/>
    <x v="1"/>
    <n v="12000000"/>
    <n v="1"/>
    <d v="1899-12-30T00:06:20"/>
    <x v="0"/>
    <x v="7"/>
    <x v="6"/>
    <x v="0"/>
    <x v="10"/>
  </r>
  <r>
    <x v="0"/>
    <n v="17"/>
    <x v="6"/>
    <x v="3"/>
    <x v="2"/>
    <x v="3"/>
    <n v="15000000"/>
    <n v="2"/>
    <d v="1899-12-30T00:06:20"/>
    <x v="0"/>
    <x v="8"/>
    <x v="2"/>
    <x v="2"/>
    <x v="11"/>
  </r>
  <r>
    <x v="1"/>
    <n v="13"/>
    <x v="2"/>
    <x v="2"/>
    <x v="1"/>
    <x v="5"/>
    <n v="0"/>
    <n v="1"/>
    <d v="1899-12-30T00:06:20"/>
    <x v="3"/>
    <x v="9"/>
    <x v="0"/>
    <x v="3"/>
    <x v="4"/>
  </r>
  <r>
    <x v="1"/>
    <n v="5"/>
    <x v="3"/>
    <x v="4"/>
    <x v="2"/>
    <x v="5"/>
    <n v="0"/>
    <n v="5"/>
    <d v="1899-12-30T00:06:20"/>
    <x v="3"/>
    <x v="9"/>
    <x v="4"/>
    <x v="1"/>
    <x v="1"/>
  </r>
  <r>
    <x v="1"/>
    <n v="19"/>
    <x v="4"/>
    <x v="2"/>
    <x v="0"/>
    <x v="5"/>
    <n v="0"/>
    <n v="2"/>
    <d v="1899-12-30T00:06:20"/>
    <x v="3"/>
    <x v="9"/>
    <x v="2"/>
    <x v="1"/>
    <x v="1"/>
  </r>
  <r>
    <x v="1"/>
    <n v="28"/>
    <x v="4"/>
    <x v="2"/>
    <x v="1"/>
    <x v="5"/>
    <n v="0"/>
    <n v="4"/>
    <d v="1899-12-30T00:06:20"/>
    <x v="3"/>
    <x v="9"/>
    <x v="5"/>
    <x v="3"/>
    <x v="4"/>
  </r>
  <r>
    <x v="1"/>
    <n v="10"/>
    <x v="10"/>
    <x v="4"/>
    <x v="2"/>
    <x v="5"/>
    <n v="0"/>
    <n v="5"/>
    <d v="1899-12-30T00:06:20"/>
    <x v="3"/>
    <x v="9"/>
    <x v="6"/>
    <x v="0"/>
    <x v="9"/>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0"/>
    <n v="27"/>
    <x v="1"/>
    <x v="3"/>
    <x v="1"/>
    <x v="1"/>
    <n v="15000000"/>
    <n v="4"/>
    <d v="1899-12-30T00:06:30"/>
    <x v="0"/>
    <x v="4"/>
    <x v="5"/>
    <x v="0"/>
    <x v="10"/>
  </r>
  <r>
    <x v="0"/>
    <n v="16"/>
    <x v="1"/>
    <x v="5"/>
    <x v="1"/>
    <x v="4"/>
    <n v="20000000"/>
    <n v="3"/>
    <d v="1899-12-30T00:06:30"/>
    <x v="0"/>
    <x v="6"/>
    <x v="7"/>
    <x v="0"/>
    <x v="5"/>
  </r>
  <r>
    <x v="0"/>
    <n v="24"/>
    <x v="2"/>
    <x v="0"/>
    <x v="0"/>
    <x v="1"/>
    <n v="15000000"/>
    <n v="5"/>
    <d v="1899-12-30T00:06:30"/>
    <x v="0"/>
    <x v="0"/>
    <x v="2"/>
    <x v="1"/>
    <x v="6"/>
  </r>
  <r>
    <x v="0"/>
    <n v="30"/>
    <x v="2"/>
    <x v="4"/>
    <x v="2"/>
    <x v="2"/>
    <n v="12000000"/>
    <n v="4"/>
    <d v="1899-12-30T00:06:30"/>
    <x v="0"/>
    <x v="2"/>
    <x v="2"/>
    <x v="0"/>
    <x v="5"/>
  </r>
  <r>
    <x v="0"/>
    <n v="11"/>
    <x v="2"/>
    <x v="0"/>
    <x v="1"/>
    <x v="4"/>
    <n v="21000000"/>
    <n v="1"/>
    <d v="1899-12-30T00:06:30"/>
    <x v="0"/>
    <x v="2"/>
    <x v="7"/>
    <x v="2"/>
    <x v="11"/>
  </r>
  <r>
    <x v="0"/>
    <n v="8"/>
    <x v="3"/>
    <x v="1"/>
    <x v="1"/>
    <x v="0"/>
    <n v="19000000"/>
    <n v="3"/>
    <d v="1899-12-30T00:06:30"/>
    <x v="1"/>
    <x v="2"/>
    <x v="3"/>
    <x v="1"/>
    <x v="2"/>
  </r>
  <r>
    <x v="0"/>
    <n v="26"/>
    <x v="3"/>
    <x v="0"/>
    <x v="0"/>
    <x v="2"/>
    <n v="38000000"/>
    <n v="4"/>
    <d v="1899-12-30T00:06:30"/>
    <x v="1"/>
    <x v="0"/>
    <x v="3"/>
    <x v="3"/>
    <x v="13"/>
  </r>
  <r>
    <x v="0"/>
    <n v="10"/>
    <x v="3"/>
    <x v="0"/>
    <x v="1"/>
    <x v="3"/>
    <n v="11000000"/>
    <n v="5"/>
    <d v="1899-12-30T00:06:30"/>
    <x v="2"/>
    <x v="3"/>
    <x v="5"/>
    <x v="3"/>
    <x v="4"/>
  </r>
  <r>
    <x v="0"/>
    <n v="31"/>
    <x v="3"/>
    <x v="3"/>
    <x v="2"/>
    <x v="4"/>
    <n v="21000000"/>
    <n v="5"/>
    <d v="1899-12-30T00:06:30"/>
    <x v="0"/>
    <x v="4"/>
    <x v="0"/>
    <x v="1"/>
    <x v="1"/>
  </r>
  <r>
    <x v="0"/>
    <n v="11"/>
    <x v="3"/>
    <x v="2"/>
    <x v="0"/>
    <x v="4"/>
    <n v="25000000"/>
    <n v="2"/>
    <d v="1899-12-30T00:06:30"/>
    <x v="0"/>
    <x v="4"/>
    <x v="3"/>
    <x v="0"/>
    <x v="7"/>
  </r>
  <r>
    <x v="0"/>
    <n v="5"/>
    <x v="3"/>
    <x v="1"/>
    <x v="1"/>
    <x v="3"/>
    <n v="20000000"/>
    <n v="4"/>
    <d v="1899-12-30T00:06:30"/>
    <x v="0"/>
    <x v="8"/>
    <x v="0"/>
    <x v="0"/>
    <x v="10"/>
  </r>
  <r>
    <x v="0"/>
    <n v="28"/>
    <x v="3"/>
    <x v="4"/>
    <x v="0"/>
    <x v="0"/>
    <n v="7000000"/>
    <n v="5"/>
    <d v="1899-12-30T00:06:30"/>
    <x v="0"/>
    <x v="0"/>
    <x v="5"/>
    <x v="2"/>
    <x v="8"/>
  </r>
  <r>
    <x v="0"/>
    <n v="4"/>
    <x v="4"/>
    <x v="1"/>
    <x v="1"/>
    <x v="2"/>
    <n v="38000000"/>
    <n v="4"/>
    <d v="1899-12-30T00:06:30"/>
    <x v="1"/>
    <x v="8"/>
    <x v="0"/>
    <x v="1"/>
    <x v="2"/>
  </r>
  <r>
    <x v="0"/>
    <n v="15"/>
    <x v="4"/>
    <x v="1"/>
    <x v="3"/>
    <x v="0"/>
    <n v="19000000"/>
    <n v="7"/>
    <d v="1899-12-30T00:06:30"/>
    <x v="1"/>
    <x v="5"/>
    <x v="7"/>
    <x v="2"/>
    <x v="8"/>
  </r>
  <r>
    <x v="0"/>
    <n v="22"/>
    <x v="4"/>
    <x v="4"/>
    <x v="2"/>
    <x v="3"/>
    <n v="20000000"/>
    <n v="3"/>
    <d v="1899-12-30T00:06:30"/>
    <x v="2"/>
    <x v="7"/>
    <x v="6"/>
    <x v="1"/>
    <x v="6"/>
  </r>
  <r>
    <x v="0"/>
    <n v="3"/>
    <x v="4"/>
    <x v="1"/>
    <x v="2"/>
    <x v="2"/>
    <n v="12000000"/>
    <n v="2"/>
    <d v="1899-12-30T00:06:30"/>
    <x v="0"/>
    <x v="0"/>
    <x v="1"/>
    <x v="0"/>
    <x v="10"/>
  </r>
  <r>
    <x v="0"/>
    <n v="15"/>
    <x v="4"/>
    <x v="0"/>
    <x v="1"/>
    <x v="2"/>
    <n v="12000000"/>
    <n v="3"/>
    <d v="1899-12-30T00:06:30"/>
    <x v="0"/>
    <x v="3"/>
    <x v="2"/>
    <x v="0"/>
    <x v="7"/>
  </r>
  <r>
    <x v="0"/>
    <n v="3"/>
    <x v="4"/>
    <x v="0"/>
    <x v="0"/>
    <x v="2"/>
    <n v="12000000"/>
    <n v="3"/>
    <d v="1899-12-30T00:06:30"/>
    <x v="0"/>
    <x v="2"/>
    <x v="3"/>
    <x v="1"/>
    <x v="2"/>
  </r>
  <r>
    <x v="0"/>
    <n v="11"/>
    <x v="4"/>
    <x v="4"/>
    <x v="3"/>
    <x v="1"/>
    <n v="15000000"/>
    <n v="3"/>
    <d v="1899-12-30T00:06:30"/>
    <x v="0"/>
    <x v="8"/>
    <x v="3"/>
    <x v="2"/>
    <x v="8"/>
  </r>
  <r>
    <x v="0"/>
    <n v="22"/>
    <x v="4"/>
    <x v="5"/>
    <x v="2"/>
    <x v="1"/>
    <n v="15000000"/>
    <n v="4"/>
    <d v="1899-12-30T00:06:30"/>
    <x v="0"/>
    <x v="0"/>
    <x v="3"/>
    <x v="0"/>
    <x v="9"/>
  </r>
  <r>
    <x v="0"/>
    <n v="20"/>
    <x v="4"/>
    <x v="0"/>
    <x v="2"/>
    <x v="1"/>
    <n v="15000000"/>
    <n v="6"/>
    <d v="1899-12-30T00:06:30"/>
    <x v="0"/>
    <x v="3"/>
    <x v="0"/>
    <x v="3"/>
    <x v="13"/>
  </r>
  <r>
    <x v="0"/>
    <n v="30"/>
    <x v="4"/>
    <x v="5"/>
    <x v="2"/>
    <x v="0"/>
    <n v="7000000"/>
    <n v="3"/>
    <d v="1899-12-30T00:06:30"/>
    <x v="0"/>
    <x v="0"/>
    <x v="6"/>
    <x v="1"/>
    <x v="2"/>
  </r>
  <r>
    <x v="0"/>
    <n v="2"/>
    <x v="10"/>
    <x v="1"/>
    <x v="2"/>
    <x v="1"/>
    <n v="12000000"/>
    <n v="3"/>
    <d v="1899-12-30T00:06:30"/>
    <x v="0"/>
    <x v="4"/>
    <x v="2"/>
    <x v="1"/>
    <x v="2"/>
  </r>
  <r>
    <x v="0"/>
    <n v="17"/>
    <x v="10"/>
    <x v="0"/>
    <x v="2"/>
    <x v="1"/>
    <n v="11000000"/>
    <n v="4"/>
    <d v="1899-12-30T00:06:30"/>
    <x v="0"/>
    <x v="5"/>
    <x v="5"/>
    <x v="0"/>
    <x v="5"/>
  </r>
  <r>
    <x v="0"/>
    <n v="24"/>
    <x v="10"/>
    <x v="2"/>
    <x v="0"/>
    <x v="4"/>
    <n v="25000000"/>
    <n v="6"/>
    <d v="1899-12-30T00:06:30"/>
    <x v="0"/>
    <x v="3"/>
    <x v="7"/>
    <x v="0"/>
    <x v="9"/>
  </r>
  <r>
    <x v="0"/>
    <n v="28"/>
    <x v="10"/>
    <x v="5"/>
    <x v="2"/>
    <x v="3"/>
    <n v="20000000"/>
    <n v="2"/>
    <d v="1899-12-30T00:06:30"/>
    <x v="0"/>
    <x v="4"/>
    <x v="7"/>
    <x v="1"/>
    <x v="2"/>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1"/>
    <n v="19"/>
    <x v="7"/>
    <x v="0"/>
    <x v="1"/>
    <x v="5"/>
    <n v="0"/>
    <n v="3"/>
    <d v="1899-12-30T00:06:30"/>
    <x v="3"/>
    <x v="9"/>
    <x v="1"/>
    <x v="3"/>
    <x v="4"/>
  </r>
  <r>
    <x v="1"/>
    <n v="3"/>
    <x v="11"/>
    <x v="0"/>
    <x v="1"/>
    <x v="5"/>
    <n v="0"/>
    <n v="1"/>
    <d v="1899-12-30T00:06:30"/>
    <x v="3"/>
    <x v="9"/>
    <x v="6"/>
    <x v="1"/>
    <x v="2"/>
  </r>
  <r>
    <x v="1"/>
    <n v="23"/>
    <x v="2"/>
    <x v="3"/>
    <x v="1"/>
    <x v="5"/>
    <n v="0"/>
    <n v="3"/>
    <d v="1899-12-30T00:06:30"/>
    <x v="3"/>
    <x v="9"/>
    <x v="7"/>
    <x v="0"/>
    <x v="5"/>
  </r>
  <r>
    <x v="1"/>
    <n v="5"/>
    <x v="3"/>
    <x v="0"/>
    <x v="0"/>
    <x v="5"/>
    <n v="0"/>
    <n v="1"/>
    <d v="1899-12-30T00:06:30"/>
    <x v="3"/>
    <x v="9"/>
    <x v="2"/>
    <x v="0"/>
    <x v="9"/>
  </r>
  <r>
    <x v="1"/>
    <n v="10"/>
    <x v="3"/>
    <x v="4"/>
    <x v="1"/>
    <x v="5"/>
    <n v="0"/>
    <n v="6"/>
    <d v="1899-12-30T00:06:30"/>
    <x v="3"/>
    <x v="9"/>
    <x v="5"/>
    <x v="2"/>
    <x v="11"/>
  </r>
  <r>
    <x v="1"/>
    <n v="24"/>
    <x v="3"/>
    <x v="4"/>
    <x v="2"/>
    <x v="5"/>
    <n v="0"/>
    <n v="3"/>
    <d v="1899-12-30T00:06:30"/>
    <x v="3"/>
    <x v="9"/>
    <x v="1"/>
    <x v="3"/>
    <x v="13"/>
  </r>
  <r>
    <x v="1"/>
    <n v="29"/>
    <x v="10"/>
    <x v="3"/>
    <x v="2"/>
    <x v="5"/>
    <n v="0"/>
    <n v="3"/>
    <d v="1899-12-30T00:06:30"/>
    <x v="3"/>
    <x v="9"/>
    <x v="5"/>
    <x v="1"/>
    <x v="1"/>
  </r>
  <r>
    <x v="1"/>
    <n v="30"/>
    <x v="10"/>
    <x v="1"/>
    <x v="4"/>
    <x v="5"/>
    <n v="0"/>
    <n v="1"/>
    <d v="1899-12-30T00:06:30"/>
    <x v="3"/>
    <x v="9"/>
    <x v="1"/>
    <x v="0"/>
    <x v="0"/>
  </r>
  <r>
    <x v="1"/>
    <n v="21"/>
    <x v="10"/>
    <x v="0"/>
    <x v="1"/>
    <x v="5"/>
    <n v="0"/>
    <n v="2"/>
    <d v="1899-12-30T00:06:30"/>
    <x v="3"/>
    <x v="9"/>
    <x v="6"/>
    <x v="1"/>
    <x v="1"/>
  </r>
  <r>
    <x v="1"/>
    <n v="19"/>
    <x v="7"/>
    <x v="0"/>
    <x v="1"/>
    <x v="5"/>
    <n v="0"/>
    <n v="3"/>
    <d v="1899-12-30T00:06:30"/>
    <x v="3"/>
    <x v="9"/>
    <x v="1"/>
    <x v="3"/>
    <x v="4"/>
  </r>
  <r>
    <x v="1"/>
    <n v="3"/>
    <x v="11"/>
    <x v="0"/>
    <x v="1"/>
    <x v="5"/>
    <n v="0"/>
    <n v="1"/>
    <d v="1899-12-30T00:06:30"/>
    <x v="3"/>
    <x v="9"/>
    <x v="6"/>
    <x v="1"/>
    <x v="2"/>
  </r>
  <r>
    <x v="0"/>
    <n v="19"/>
    <x v="6"/>
    <x v="1"/>
    <x v="3"/>
    <x v="2"/>
    <n v="12000000"/>
    <n v="3"/>
    <d v="1899-12-30T00:07:10"/>
    <x v="0"/>
    <x v="1"/>
    <x v="6"/>
    <x v="1"/>
    <x v="6"/>
  </r>
  <r>
    <x v="0"/>
    <n v="22"/>
    <x v="2"/>
    <x v="5"/>
    <x v="0"/>
    <x v="3"/>
    <n v="15000000"/>
    <n v="2"/>
    <d v="1899-12-30T00:07:10"/>
    <x v="0"/>
    <x v="3"/>
    <x v="5"/>
    <x v="2"/>
    <x v="8"/>
  </r>
  <r>
    <x v="0"/>
    <n v="25"/>
    <x v="3"/>
    <x v="0"/>
    <x v="2"/>
    <x v="0"/>
    <n v="19000000"/>
    <n v="4"/>
    <d v="1899-12-30T00:07:10"/>
    <x v="1"/>
    <x v="8"/>
    <x v="2"/>
    <x v="3"/>
    <x v="4"/>
  </r>
  <r>
    <x v="0"/>
    <n v="31"/>
    <x v="3"/>
    <x v="0"/>
    <x v="0"/>
    <x v="1"/>
    <n v="11000000"/>
    <n v="1"/>
    <d v="1899-12-30T00:07:10"/>
    <x v="0"/>
    <x v="4"/>
    <x v="3"/>
    <x v="1"/>
    <x v="1"/>
  </r>
  <r>
    <x v="0"/>
    <n v="29"/>
    <x v="3"/>
    <x v="4"/>
    <x v="1"/>
    <x v="2"/>
    <n v="12000000"/>
    <n v="3"/>
    <d v="1899-12-30T00:07:10"/>
    <x v="0"/>
    <x v="4"/>
    <x v="4"/>
    <x v="1"/>
    <x v="1"/>
  </r>
  <r>
    <x v="0"/>
    <n v="2"/>
    <x v="4"/>
    <x v="4"/>
    <x v="4"/>
    <x v="2"/>
    <n v="38000000"/>
    <n v="1"/>
    <d v="1899-12-30T00:07:10"/>
    <x v="1"/>
    <x v="0"/>
    <x v="2"/>
    <x v="2"/>
    <x v="8"/>
  </r>
  <r>
    <x v="0"/>
    <n v="22"/>
    <x v="4"/>
    <x v="5"/>
    <x v="1"/>
    <x v="4"/>
    <n v="25000000"/>
    <n v="3"/>
    <d v="1899-12-30T00:07:10"/>
    <x v="0"/>
    <x v="7"/>
    <x v="6"/>
    <x v="1"/>
    <x v="6"/>
  </r>
  <r>
    <x v="0"/>
    <n v="29"/>
    <x v="10"/>
    <x v="0"/>
    <x v="1"/>
    <x v="0"/>
    <n v="7000000"/>
    <n v="1"/>
    <d v="1899-12-30T00:07:10"/>
    <x v="0"/>
    <x v="3"/>
    <x v="2"/>
    <x v="0"/>
    <x v="9"/>
  </r>
  <r>
    <x v="0"/>
    <n v="19"/>
    <x v="6"/>
    <x v="1"/>
    <x v="3"/>
    <x v="2"/>
    <n v="12000000"/>
    <n v="3"/>
    <d v="1899-12-30T00:07:10"/>
    <x v="0"/>
    <x v="1"/>
    <x v="6"/>
    <x v="1"/>
    <x v="6"/>
  </r>
  <r>
    <x v="1"/>
    <n v="28"/>
    <x v="2"/>
    <x v="3"/>
    <x v="2"/>
    <x v="5"/>
    <n v="0"/>
    <n v="1"/>
    <d v="1899-12-30T00:07:10"/>
    <x v="3"/>
    <x v="9"/>
    <x v="7"/>
    <x v="0"/>
    <x v="12"/>
  </r>
  <r>
    <x v="1"/>
    <n v="5"/>
    <x v="3"/>
    <x v="3"/>
    <x v="2"/>
    <x v="5"/>
    <n v="0"/>
    <n v="2"/>
    <d v="1899-12-30T00:07:10"/>
    <x v="3"/>
    <x v="9"/>
    <x v="0"/>
    <x v="0"/>
    <x v="7"/>
  </r>
  <r>
    <x v="1"/>
    <n v="29"/>
    <x v="3"/>
    <x v="2"/>
    <x v="3"/>
    <x v="5"/>
    <n v="0"/>
    <n v="5"/>
    <d v="1899-12-30T00:07:10"/>
    <x v="3"/>
    <x v="9"/>
    <x v="1"/>
    <x v="3"/>
    <x v="4"/>
  </r>
  <r>
    <x v="1"/>
    <n v="30"/>
    <x v="4"/>
    <x v="2"/>
    <x v="2"/>
    <x v="5"/>
    <n v="0"/>
    <n v="1"/>
    <d v="1899-12-30T00:07:10"/>
    <x v="3"/>
    <x v="9"/>
    <x v="3"/>
    <x v="0"/>
    <x v="12"/>
  </r>
  <r>
    <x v="1"/>
    <n v="15"/>
    <x v="4"/>
    <x v="4"/>
    <x v="2"/>
    <x v="5"/>
    <n v="0"/>
    <n v="4"/>
    <d v="1899-12-30T00:07:10"/>
    <x v="3"/>
    <x v="9"/>
    <x v="7"/>
    <x v="0"/>
    <x v="12"/>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0"/>
    <n v="30"/>
    <x v="2"/>
    <x v="2"/>
    <x v="0"/>
    <x v="0"/>
    <n v="7000000"/>
    <n v="1"/>
    <d v="1899-12-30T00:07:14"/>
    <x v="0"/>
    <x v="3"/>
    <x v="2"/>
    <x v="2"/>
    <x v="8"/>
  </r>
  <r>
    <x v="0"/>
    <n v="20"/>
    <x v="2"/>
    <x v="2"/>
    <x v="0"/>
    <x v="2"/>
    <n v="12000000"/>
    <n v="2"/>
    <d v="1899-12-30T00:07:14"/>
    <x v="0"/>
    <x v="0"/>
    <x v="5"/>
    <x v="0"/>
    <x v="5"/>
  </r>
  <r>
    <x v="0"/>
    <n v="22"/>
    <x v="3"/>
    <x v="0"/>
    <x v="0"/>
    <x v="2"/>
    <n v="12000000"/>
    <n v="2"/>
    <d v="1899-12-30T00:07:14"/>
    <x v="0"/>
    <x v="2"/>
    <x v="1"/>
    <x v="1"/>
    <x v="6"/>
  </r>
  <r>
    <x v="0"/>
    <n v="17"/>
    <x v="4"/>
    <x v="3"/>
    <x v="3"/>
    <x v="1"/>
    <n v="15000000"/>
    <n v="2"/>
    <d v="1899-12-30T00:07:14"/>
    <x v="0"/>
    <x v="1"/>
    <x v="1"/>
    <x v="0"/>
    <x v="12"/>
  </r>
  <r>
    <x v="0"/>
    <n v="20"/>
    <x v="4"/>
    <x v="3"/>
    <x v="2"/>
    <x v="1"/>
    <n v="11000000"/>
    <n v="2"/>
    <d v="1899-12-30T00:07:14"/>
    <x v="0"/>
    <x v="4"/>
    <x v="2"/>
    <x v="1"/>
    <x v="1"/>
  </r>
  <r>
    <x v="0"/>
    <n v="22"/>
    <x v="4"/>
    <x v="0"/>
    <x v="4"/>
    <x v="4"/>
    <n v="25000000"/>
    <n v="4"/>
    <d v="1899-12-30T00:07:14"/>
    <x v="0"/>
    <x v="1"/>
    <x v="0"/>
    <x v="1"/>
    <x v="6"/>
  </r>
  <r>
    <x v="0"/>
    <n v="3"/>
    <x v="4"/>
    <x v="2"/>
    <x v="0"/>
    <x v="3"/>
    <n v="15000000"/>
    <n v="3"/>
    <d v="1899-12-30T00:07:14"/>
    <x v="0"/>
    <x v="8"/>
    <x v="7"/>
    <x v="0"/>
    <x v="5"/>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1"/>
    <n v="13"/>
    <x v="7"/>
    <x v="4"/>
    <x v="2"/>
    <x v="5"/>
    <n v="0"/>
    <n v="2"/>
    <d v="1899-12-30T00:07:14"/>
    <x v="3"/>
    <x v="9"/>
    <x v="6"/>
    <x v="2"/>
    <x v="11"/>
  </r>
  <r>
    <x v="1"/>
    <n v="11"/>
    <x v="4"/>
    <x v="2"/>
    <x v="1"/>
    <x v="5"/>
    <n v="0"/>
    <n v="2"/>
    <d v="1899-12-30T00:07:14"/>
    <x v="3"/>
    <x v="9"/>
    <x v="3"/>
    <x v="3"/>
    <x v="4"/>
  </r>
  <r>
    <x v="1"/>
    <n v="13"/>
    <x v="7"/>
    <x v="4"/>
    <x v="2"/>
    <x v="5"/>
    <n v="0"/>
    <n v="2"/>
    <d v="1899-12-30T00:07:14"/>
    <x v="3"/>
    <x v="9"/>
    <x v="6"/>
    <x v="2"/>
    <x v="11"/>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0"/>
    <n v="30"/>
    <x v="2"/>
    <x v="2"/>
    <x v="2"/>
    <x v="0"/>
    <n v="7000000"/>
    <n v="2"/>
    <d v="1899-12-30T00:07:30"/>
    <x v="0"/>
    <x v="2"/>
    <x v="5"/>
    <x v="0"/>
    <x v="10"/>
  </r>
  <r>
    <x v="0"/>
    <n v="27"/>
    <x v="2"/>
    <x v="0"/>
    <x v="1"/>
    <x v="0"/>
    <n v="7000000"/>
    <n v="1"/>
    <d v="1899-12-30T00:07:30"/>
    <x v="0"/>
    <x v="6"/>
    <x v="7"/>
    <x v="3"/>
    <x v="13"/>
  </r>
  <r>
    <x v="0"/>
    <n v="15"/>
    <x v="3"/>
    <x v="2"/>
    <x v="0"/>
    <x v="0"/>
    <n v="19000000"/>
    <n v="2"/>
    <d v="1899-12-30T00:07:30"/>
    <x v="1"/>
    <x v="0"/>
    <x v="2"/>
    <x v="2"/>
    <x v="11"/>
  </r>
  <r>
    <x v="0"/>
    <n v="5"/>
    <x v="3"/>
    <x v="0"/>
    <x v="2"/>
    <x v="3"/>
    <n v="15000000"/>
    <n v="6"/>
    <d v="1899-12-30T00:07:30"/>
    <x v="0"/>
    <x v="6"/>
    <x v="2"/>
    <x v="3"/>
    <x v="4"/>
  </r>
  <r>
    <x v="0"/>
    <n v="6"/>
    <x v="3"/>
    <x v="4"/>
    <x v="1"/>
    <x v="4"/>
    <n v="20000000"/>
    <n v="6"/>
    <d v="1899-12-30T00:07:30"/>
    <x v="0"/>
    <x v="2"/>
    <x v="2"/>
    <x v="0"/>
    <x v="9"/>
  </r>
  <r>
    <x v="0"/>
    <n v="12"/>
    <x v="3"/>
    <x v="5"/>
    <x v="0"/>
    <x v="2"/>
    <n v="12000000"/>
    <n v="2"/>
    <d v="1899-12-30T00:07:30"/>
    <x v="0"/>
    <x v="0"/>
    <x v="4"/>
    <x v="2"/>
    <x v="8"/>
  </r>
  <r>
    <x v="0"/>
    <n v="28"/>
    <x v="3"/>
    <x v="1"/>
    <x v="1"/>
    <x v="2"/>
    <n v="12000000"/>
    <n v="2"/>
    <d v="1899-12-30T00:07:30"/>
    <x v="0"/>
    <x v="0"/>
    <x v="0"/>
    <x v="0"/>
    <x v="0"/>
  </r>
  <r>
    <x v="0"/>
    <n v="8"/>
    <x v="3"/>
    <x v="0"/>
    <x v="1"/>
    <x v="2"/>
    <n v="12000000"/>
    <n v="3"/>
    <d v="1899-12-30T00:07:30"/>
    <x v="0"/>
    <x v="2"/>
    <x v="3"/>
    <x v="1"/>
    <x v="15"/>
  </r>
  <r>
    <x v="0"/>
    <n v="7"/>
    <x v="3"/>
    <x v="3"/>
    <x v="2"/>
    <x v="2"/>
    <n v="12000000"/>
    <n v="3"/>
    <d v="1899-12-30T00:07:30"/>
    <x v="0"/>
    <x v="7"/>
    <x v="4"/>
    <x v="0"/>
    <x v="10"/>
  </r>
  <r>
    <x v="0"/>
    <n v="9"/>
    <x v="3"/>
    <x v="4"/>
    <x v="2"/>
    <x v="1"/>
    <n v="15000000"/>
    <n v="1"/>
    <d v="1899-12-30T00:07:30"/>
    <x v="0"/>
    <x v="2"/>
    <x v="6"/>
    <x v="3"/>
    <x v="4"/>
  </r>
  <r>
    <x v="0"/>
    <n v="16"/>
    <x v="4"/>
    <x v="1"/>
    <x v="1"/>
    <x v="0"/>
    <n v="19000000"/>
    <n v="1"/>
    <d v="1899-12-30T00:07:30"/>
    <x v="1"/>
    <x v="0"/>
    <x v="3"/>
    <x v="1"/>
    <x v="2"/>
  </r>
  <r>
    <x v="0"/>
    <n v="22"/>
    <x v="4"/>
    <x v="1"/>
    <x v="1"/>
    <x v="1"/>
    <n v="11000000"/>
    <n v="3"/>
    <d v="1899-12-30T00:07:30"/>
    <x v="0"/>
    <x v="0"/>
    <x v="2"/>
    <x v="2"/>
    <x v="11"/>
  </r>
  <r>
    <x v="0"/>
    <n v="5"/>
    <x v="4"/>
    <x v="0"/>
    <x v="2"/>
    <x v="1"/>
    <n v="15000000"/>
    <n v="2"/>
    <d v="1899-12-30T00:07:30"/>
    <x v="0"/>
    <x v="8"/>
    <x v="4"/>
    <x v="3"/>
    <x v="13"/>
  </r>
  <r>
    <x v="0"/>
    <n v="29"/>
    <x v="4"/>
    <x v="3"/>
    <x v="2"/>
    <x v="1"/>
    <n v="15000000"/>
    <n v="4"/>
    <d v="1899-12-30T00:07:30"/>
    <x v="0"/>
    <x v="0"/>
    <x v="1"/>
    <x v="0"/>
    <x v="10"/>
  </r>
  <r>
    <x v="0"/>
    <n v="12"/>
    <x v="4"/>
    <x v="0"/>
    <x v="3"/>
    <x v="3"/>
    <n v="15000000"/>
    <n v="2"/>
    <d v="1899-12-30T00:07:30"/>
    <x v="0"/>
    <x v="0"/>
    <x v="6"/>
    <x v="0"/>
    <x v="5"/>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1"/>
    <n v="7"/>
    <x v="11"/>
    <x v="1"/>
    <x v="0"/>
    <x v="5"/>
    <n v="0"/>
    <n v="3"/>
    <d v="1899-12-30T00:07:30"/>
    <x v="3"/>
    <x v="9"/>
    <x v="7"/>
    <x v="2"/>
    <x v="11"/>
  </r>
  <r>
    <x v="1"/>
    <n v="12"/>
    <x v="1"/>
    <x v="4"/>
    <x v="1"/>
    <x v="5"/>
    <n v="0"/>
    <n v="2"/>
    <d v="1899-12-30T00:07:30"/>
    <x v="3"/>
    <x v="9"/>
    <x v="2"/>
    <x v="1"/>
    <x v="2"/>
  </r>
  <r>
    <x v="1"/>
    <n v="1"/>
    <x v="2"/>
    <x v="2"/>
    <x v="2"/>
    <x v="5"/>
    <n v="0"/>
    <n v="4"/>
    <d v="1899-12-30T00:07:30"/>
    <x v="3"/>
    <x v="9"/>
    <x v="2"/>
    <x v="0"/>
    <x v="10"/>
  </r>
  <r>
    <x v="1"/>
    <n v="29"/>
    <x v="2"/>
    <x v="3"/>
    <x v="2"/>
    <x v="5"/>
    <n v="0"/>
    <n v="2"/>
    <d v="1899-12-30T00:07:30"/>
    <x v="3"/>
    <x v="9"/>
    <x v="4"/>
    <x v="1"/>
    <x v="6"/>
  </r>
  <r>
    <x v="1"/>
    <n v="26"/>
    <x v="3"/>
    <x v="3"/>
    <x v="0"/>
    <x v="5"/>
    <n v="0"/>
    <n v="3"/>
    <d v="1899-12-30T00:07:30"/>
    <x v="3"/>
    <x v="9"/>
    <x v="2"/>
    <x v="0"/>
    <x v="5"/>
  </r>
  <r>
    <x v="1"/>
    <n v="30"/>
    <x v="10"/>
    <x v="4"/>
    <x v="0"/>
    <x v="5"/>
    <n v="0"/>
    <n v="7"/>
    <d v="1899-12-30T00:07:30"/>
    <x v="3"/>
    <x v="9"/>
    <x v="5"/>
    <x v="1"/>
    <x v="6"/>
  </r>
  <r>
    <x v="1"/>
    <n v="7"/>
    <x v="11"/>
    <x v="1"/>
    <x v="0"/>
    <x v="5"/>
    <n v="0"/>
    <n v="3"/>
    <d v="1899-12-30T00:07:30"/>
    <x v="3"/>
    <x v="9"/>
    <x v="7"/>
    <x v="2"/>
    <x v="11"/>
  </r>
  <r>
    <x v="0"/>
    <n v="16"/>
    <x v="6"/>
    <x v="3"/>
    <x v="1"/>
    <x v="1"/>
    <n v="11000000"/>
    <n v="3"/>
    <d v="1899-12-30T00:08:00"/>
    <x v="0"/>
    <x v="1"/>
    <x v="2"/>
    <x v="0"/>
    <x v="5"/>
  </r>
  <r>
    <x v="0"/>
    <n v="13"/>
    <x v="2"/>
    <x v="5"/>
    <x v="1"/>
    <x v="2"/>
    <n v="10000000"/>
    <n v="2"/>
    <d v="1899-12-30T00:08:00"/>
    <x v="0"/>
    <x v="0"/>
    <x v="3"/>
    <x v="0"/>
    <x v="5"/>
  </r>
  <r>
    <x v="0"/>
    <n v="16"/>
    <x v="2"/>
    <x v="0"/>
    <x v="2"/>
    <x v="2"/>
    <n v="12000000"/>
    <n v="2"/>
    <d v="1899-12-30T00:08:00"/>
    <x v="0"/>
    <x v="4"/>
    <x v="7"/>
    <x v="1"/>
    <x v="1"/>
  </r>
  <r>
    <x v="0"/>
    <n v="26"/>
    <x v="3"/>
    <x v="2"/>
    <x v="2"/>
    <x v="2"/>
    <n v="38000000"/>
    <n v="5"/>
    <d v="1899-12-30T00:08:00"/>
    <x v="1"/>
    <x v="2"/>
    <x v="6"/>
    <x v="1"/>
    <x v="2"/>
  </r>
  <r>
    <x v="0"/>
    <n v="9"/>
    <x v="3"/>
    <x v="1"/>
    <x v="2"/>
    <x v="3"/>
    <n v="20000000"/>
    <n v="1"/>
    <d v="1899-12-30T00:08:00"/>
    <x v="2"/>
    <x v="2"/>
    <x v="5"/>
    <x v="1"/>
    <x v="14"/>
  </r>
  <r>
    <x v="0"/>
    <n v="28"/>
    <x v="3"/>
    <x v="1"/>
    <x v="2"/>
    <x v="0"/>
    <n v="7000000"/>
    <n v="2"/>
    <d v="1899-12-30T00:08:00"/>
    <x v="0"/>
    <x v="2"/>
    <x v="6"/>
    <x v="1"/>
    <x v="6"/>
  </r>
  <r>
    <x v="0"/>
    <n v="30"/>
    <x v="3"/>
    <x v="2"/>
    <x v="0"/>
    <x v="1"/>
    <n v="15000000"/>
    <n v="4"/>
    <d v="1899-12-30T00:08:00"/>
    <x v="0"/>
    <x v="1"/>
    <x v="3"/>
    <x v="0"/>
    <x v="10"/>
  </r>
  <r>
    <x v="0"/>
    <n v="5"/>
    <x v="4"/>
    <x v="1"/>
    <x v="0"/>
    <x v="4"/>
    <n v="25000000"/>
    <n v="2"/>
    <d v="1899-12-30T00:08:00"/>
    <x v="0"/>
    <x v="0"/>
    <x v="1"/>
    <x v="3"/>
    <x v="4"/>
  </r>
  <r>
    <x v="0"/>
    <n v="16"/>
    <x v="6"/>
    <x v="3"/>
    <x v="1"/>
    <x v="1"/>
    <n v="11000000"/>
    <n v="3"/>
    <d v="1899-12-30T00:08:00"/>
    <x v="0"/>
    <x v="1"/>
    <x v="2"/>
    <x v="0"/>
    <x v="5"/>
  </r>
  <r>
    <x v="1"/>
    <n v="12"/>
    <x v="2"/>
    <x v="2"/>
    <x v="2"/>
    <x v="5"/>
    <n v="0"/>
    <n v="3"/>
    <d v="1899-12-30T00:08:00"/>
    <x v="3"/>
    <x v="9"/>
    <x v="2"/>
    <x v="3"/>
    <x v="13"/>
  </r>
  <r>
    <x v="1"/>
    <n v="1"/>
    <x v="3"/>
    <x v="4"/>
    <x v="2"/>
    <x v="5"/>
    <n v="0"/>
    <n v="1"/>
    <d v="1899-12-30T00:08:00"/>
    <x v="3"/>
    <x v="9"/>
    <x v="2"/>
    <x v="3"/>
    <x v="13"/>
  </r>
  <r>
    <x v="1"/>
    <n v="5"/>
    <x v="3"/>
    <x v="4"/>
    <x v="3"/>
    <x v="5"/>
    <n v="0"/>
    <n v="4"/>
    <d v="1899-12-30T00:08:00"/>
    <x v="3"/>
    <x v="9"/>
    <x v="5"/>
    <x v="2"/>
    <x v="11"/>
  </r>
  <r>
    <x v="1"/>
    <n v="27"/>
    <x v="4"/>
    <x v="0"/>
    <x v="0"/>
    <x v="5"/>
    <n v="0"/>
    <n v="1"/>
    <d v="1899-12-30T00:08:00"/>
    <x v="3"/>
    <x v="9"/>
    <x v="2"/>
    <x v="1"/>
    <x v="6"/>
  </r>
  <r>
    <x v="1"/>
    <n v="16"/>
    <x v="4"/>
    <x v="0"/>
    <x v="0"/>
    <x v="5"/>
    <n v="0"/>
    <n v="1"/>
    <d v="1899-12-30T00:08:00"/>
    <x v="3"/>
    <x v="9"/>
    <x v="4"/>
    <x v="0"/>
    <x v="0"/>
  </r>
  <r>
    <x v="0"/>
    <n v="11"/>
    <x v="6"/>
    <x v="2"/>
    <x v="2"/>
    <x v="3"/>
    <n v="20000000"/>
    <n v="1"/>
    <d v="1899-12-30T00:08:10"/>
    <x v="0"/>
    <x v="7"/>
    <x v="0"/>
    <x v="0"/>
    <x v="9"/>
  </r>
  <r>
    <x v="0"/>
    <n v="1"/>
    <x v="8"/>
    <x v="3"/>
    <x v="1"/>
    <x v="2"/>
    <n v="12000000"/>
    <n v="5"/>
    <d v="1899-12-30T00:08:10"/>
    <x v="0"/>
    <x v="3"/>
    <x v="4"/>
    <x v="3"/>
    <x v="4"/>
  </r>
  <r>
    <x v="0"/>
    <n v="10"/>
    <x v="2"/>
    <x v="3"/>
    <x v="2"/>
    <x v="2"/>
    <n v="38000000"/>
    <n v="2"/>
    <d v="1899-12-30T00:08:10"/>
    <x v="4"/>
    <x v="5"/>
    <x v="6"/>
    <x v="0"/>
    <x v="10"/>
  </r>
  <r>
    <x v="0"/>
    <n v="11"/>
    <x v="2"/>
    <x v="0"/>
    <x v="1"/>
    <x v="2"/>
    <n v="12000000"/>
    <n v="4"/>
    <d v="1899-12-30T00:08:10"/>
    <x v="0"/>
    <x v="4"/>
    <x v="2"/>
    <x v="1"/>
    <x v="2"/>
  </r>
  <r>
    <x v="0"/>
    <n v="12"/>
    <x v="2"/>
    <x v="3"/>
    <x v="0"/>
    <x v="1"/>
    <n v="15000000"/>
    <n v="4"/>
    <d v="1899-12-30T00:08:10"/>
    <x v="0"/>
    <x v="1"/>
    <x v="2"/>
    <x v="1"/>
    <x v="2"/>
  </r>
  <r>
    <x v="0"/>
    <n v="27"/>
    <x v="3"/>
    <x v="2"/>
    <x v="3"/>
    <x v="0"/>
    <n v="19000000"/>
    <n v="1"/>
    <d v="1899-12-30T00:08:10"/>
    <x v="1"/>
    <x v="0"/>
    <x v="3"/>
    <x v="0"/>
    <x v="5"/>
  </r>
  <r>
    <x v="0"/>
    <n v="30"/>
    <x v="3"/>
    <x v="3"/>
    <x v="2"/>
    <x v="3"/>
    <n v="11000000"/>
    <n v="3"/>
    <d v="1899-12-30T00:08:10"/>
    <x v="2"/>
    <x v="4"/>
    <x v="5"/>
    <x v="1"/>
    <x v="1"/>
  </r>
  <r>
    <x v="0"/>
    <n v="27"/>
    <x v="3"/>
    <x v="1"/>
    <x v="0"/>
    <x v="4"/>
    <n v="25000000"/>
    <n v="2"/>
    <d v="1899-12-30T00:08:10"/>
    <x v="0"/>
    <x v="4"/>
    <x v="4"/>
    <x v="1"/>
    <x v="6"/>
  </r>
  <r>
    <x v="0"/>
    <n v="9"/>
    <x v="3"/>
    <x v="0"/>
    <x v="2"/>
    <x v="1"/>
    <n v="15000000"/>
    <n v="4"/>
    <d v="1899-12-30T00:08:10"/>
    <x v="0"/>
    <x v="7"/>
    <x v="3"/>
    <x v="3"/>
    <x v="13"/>
  </r>
  <r>
    <x v="0"/>
    <n v="22"/>
    <x v="4"/>
    <x v="5"/>
    <x v="2"/>
    <x v="1"/>
    <n v="15000000"/>
    <n v="1"/>
    <d v="1899-12-30T00:08:10"/>
    <x v="0"/>
    <x v="2"/>
    <x v="6"/>
    <x v="3"/>
    <x v="4"/>
  </r>
  <r>
    <x v="0"/>
    <n v="23"/>
    <x v="10"/>
    <x v="3"/>
    <x v="2"/>
    <x v="4"/>
    <n v="21000000"/>
    <n v="1"/>
    <d v="1899-12-30T00:08:10"/>
    <x v="0"/>
    <x v="8"/>
    <x v="1"/>
    <x v="0"/>
    <x v="5"/>
  </r>
  <r>
    <x v="0"/>
    <n v="11"/>
    <x v="6"/>
    <x v="2"/>
    <x v="2"/>
    <x v="3"/>
    <n v="20000000"/>
    <n v="1"/>
    <d v="1899-12-30T00:08:10"/>
    <x v="0"/>
    <x v="7"/>
    <x v="0"/>
    <x v="0"/>
    <x v="9"/>
  </r>
  <r>
    <x v="0"/>
    <n v="1"/>
    <x v="8"/>
    <x v="3"/>
    <x v="1"/>
    <x v="2"/>
    <n v="12000000"/>
    <n v="5"/>
    <d v="1899-12-30T00:08:10"/>
    <x v="0"/>
    <x v="3"/>
    <x v="4"/>
    <x v="3"/>
    <x v="4"/>
  </r>
  <r>
    <x v="1"/>
    <n v="18"/>
    <x v="7"/>
    <x v="0"/>
    <x v="2"/>
    <x v="5"/>
    <n v="0"/>
    <n v="1"/>
    <d v="1899-12-30T00:08:10"/>
    <x v="3"/>
    <x v="9"/>
    <x v="0"/>
    <x v="1"/>
    <x v="2"/>
  </r>
  <r>
    <x v="1"/>
    <n v="2"/>
    <x v="11"/>
    <x v="0"/>
    <x v="1"/>
    <x v="5"/>
    <n v="0"/>
    <n v="4"/>
    <d v="1899-12-30T00:08:10"/>
    <x v="3"/>
    <x v="9"/>
    <x v="7"/>
    <x v="2"/>
    <x v="8"/>
  </r>
  <r>
    <x v="1"/>
    <n v="18"/>
    <x v="7"/>
    <x v="0"/>
    <x v="2"/>
    <x v="5"/>
    <n v="0"/>
    <n v="1"/>
    <d v="1899-12-30T00:08:10"/>
    <x v="3"/>
    <x v="9"/>
    <x v="0"/>
    <x v="1"/>
    <x v="2"/>
  </r>
  <r>
    <x v="1"/>
    <n v="2"/>
    <x v="11"/>
    <x v="0"/>
    <x v="1"/>
    <x v="5"/>
    <n v="0"/>
    <n v="4"/>
    <d v="1899-12-30T00:08:10"/>
    <x v="3"/>
    <x v="9"/>
    <x v="7"/>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0"/>
    <n v="30"/>
    <x v="2"/>
    <x v="2"/>
    <x v="2"/>
    <x v="0"/>
    <n v="19000000"/>
    <n v="5"/>
    <d v="1899-12-30T00:08:12"/>
    <x v="1"/>
    <x v="7"/>
    <x v="4"/>
    <x v="0"/>
    <x v="10"/>
  </r>
  <r>
    <x v="0"/>
    <n v="19"/>
    <x v="2"/>
    <x v="2"/>
    <x v="4"/>
    <x v="4"/>
    <n v="20000000"/>
    <n v="5"/>
    <d v="1899-12-30T00:08:12"/>
    <x v="0"/>
    <x v="4"/>
    <x v="3"/>
    <x v="0"/>
    <x v="7"/>
  </r>
  <r>
    <x v="0"/>
    <n v="12"/>
    <x v="2"/>
    <x v="0"/>
    <x v="2"/>
    <x v="1"/>
    <n v="11000000"/>
    <n v="5"/>
    <d v="1899-12-30T00:08:12"/>
    <x v="0"/>
    <x v="8"/>
    <x v="1"/>
    <x v="3"/>
    <x v="13"/>
  </r>
  <r>
    <x v="0"/>
    <n v="21"/>
    <x v="3"/>
    <x v="0"/>
    <x v="1"/>
    <x v="2"/>
    <n v="12000000"/>
    <n v="1"/>
    <d v="1899-12-30T00:08:12"/>
    <x v="0"/>
    <x v="5"/>
    <x v="0"/>
    <x v="1"/>
    <x v="14"/>
  </r>
  <r>
    <x v="0"/>
    <n v="17"/>
    <x v="4"/>
    <x v="3"/>
    <x v="2"/>
    <x v="2"/>
    <n v="12000000"/>
    <n v="4"/>
    <d v="1899-12-30T00:08:12"/>
    <x v="0"/>
    <x v="8"/>
    <x v="0"/>
    <x v="3"/>
    <x v="4"/>
  </r>
  <r>
    <x v="0"/>
    <n v="15"/>
    <x v="10"/>
    <x v="1"/>
    <x v="4"/>
    <x v="3"/>
    <n v="20000000"/>
    <n v="2"/>
    <d v="1899-12-30T00:08:12"/>
    <x v="2"/>
    <x v="2"/>
    <x v="5"/>
    <x v="1"/>
    <x v="6"/>
  </r>
  <r>
    <x v="0"/>
    <n v="1"/>
    <x v="10"/>
    <x v="3"/>
    <x v="2"/>
    <x v="1"/>
    <n v="12000000"/>
    <n v="4"/>
    <d v="1899-12-30T00:08:12"/>
    <x v="0"/>
    <x v="0"/>
    <x v="5"/>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1"/>
    <n v="12"/>
    <x v="7"/>
    <x v="4"/>
    <x v="1"/>
    <x v="5"/>
    <n v="0"/>
    <n v="3"/>
    <d v="1899-12-30T00:08:12"/>
    <x v="3"/>
    <x v="9"/>
    <x v="7"/>
    <x v="2"/>
    <x v="8"/>
  </r>
  <r>
    <x v="1"/>
    <n v="25"/>
    <x v="4"/>
    <x v="0"/>
    <x v="2"/>
    <x v="5"/>
    <n v="0"/>
    <n v="1"/>
    <d v="1899-12-30T00:08:12"/>
    <x v="3"/>
    <x v="9"/>
    <x v="6"/>
    <x v="3"/>
    <x v="13"/>
  </r>
  <r>
    <x v="1"/>
    <n v="12"/>
    <x v="7"/>
    <x v="4"/>
    <x v="1"/>
    <x v="5"/>
    <n v="0"/>
    <n v="3"/>
    <d v="1899-12-30T00:08:12"/>
    <x v="3"/>
    <x v="9"/>
    <x v="7"/>
    <x v="2"/>
    <x v="8"/>
  </r>
  <r>
    <x v="0"/>
    <n v="12"/>
    <x v="1"/>
    <x v="0"/>
    <x v="2"/>
    <x v="1"/>
    <n v="15000000"/>
    <n v="1"/>
    <d v="1899-12-30T00:08:20"/>
    <x v="0"/>
    <x v="3"/>
    <x v="4"/>
    <x v="1"/>
    <x v="1"/>
  </r>
  <r>
    <x v="0"/>
    <n v="30"/>
    <x v="2"/>
    <x v="1"/>
    <x v="2"/>
    <x v="2"/>
    <n v="12000000"/>
    <n v="2"/>
    <d v="1899-12-30T00:08:20"/>
    <x v="0"/>
    <x v="8"/>
    <x v="2"/>
    <x v="2"/>
    <x v="8"/>
  </r>
  <r>
    <x v="0"/>
    <n v="6"/>
    <x v="2"/>
    <x v="2"/>
    <x v="2"/>
    <x v="4"/>
    <n v="20000000"/>
    <n v="2"/>
    <d v="1899-12-30T00:08:20"/>
    <x v="0"/>
    <x v="4"/>
    <x v="5"/>
    <x v="0"/>
    <x v="7"/>
  </r>
  <r>
    <x v="0"/>
    <n v="21"/>
    <x v="3"/>
    <x v="1"/>
    <x v="1"/>
    <x v="0"/>
    <n v="7000000"/>
    <n v="2"/>
    <d v="1899-12-30T00:08:20"/>
    <x v="0"/>
    <x v="0"/>
    <x v="2"/>
    <x v="1"/>
    <x v="15"/>
  </r>
  <r>
    <x v="0"/>
    <n v="22"/>
    <x v="3"/>
    <x v="4"/>
    <x v="1"/>
    <x v="1"/>
    <n v="15000000"/>
    <n v="5"/>
    <d v="1899-12-30T00:08:20"/>
    <x v="0"/>
    <x v="4"/>
    <x v="6"/>
    <x v="0"/>
    <x v="12"/>
  </r>
  <r>
    <x v="0"/>
    <n v="12"/>
    <x v="3"/>
    <x v="1"/>
    <x v="2"/>
    <x v="3"/>
    <n v="15000000"/>
    <n v="4"/>
    <d v="1899-12-30T00:08:20"/>
    <x v="0"/>
    <x v="7"/>
    <x v="3"/>
    <x v="1"/>
    <x v="6"/>
  </r>
  <r>
    <x v="0"/>
    <n v="23"/>
    <x v="4"/>
    <x v="1"/>
    <x v="1"/>
    <x v="2"/>
    <n v="12000000"/>
    <n v="1"/>
    <d v="1899-12-30T00:08:20"/>
    <x v="0"/>
    <x v="3"/>
    <x v="1"/>
    <x v="0"/>
    <x v="5"/>
  </r>
  <r>
    <x v="0"/>
    <n v="29"/>
    <x v="4"/>
    <x v="3"/>
    <x v="0"/>
    <x v="2"/>
    <n v="12000000"/>
    <n v="2"/>
    <d v="1899-12-30T00:08:20"/>
    <x v="0"/>
    <x v="4"/>
    <x v="6"/>
    <x v="0"/>
    <x v="7"/>
  </r>
  <r>
    <x v="0"/>
    <n v="21"/>
    <x v="10"/>
    <x v="0"/>
    <x v="2"/>
    <x v="0"/>
    <n v="19000000"/>
    <n v="2"/>
    <d v="1899-12-30T00:08:20"/>
    <x v="1"/>
    <x v="7"/>
    <x v="2"/>
    <x v="0"/>
    <x v="12"/>
  </r>
  <r>
    <x v="0"/>
    <n v="24"/>
    <x v="10"/>
    <x v="0"/>
    <x v="1"/>
    <x v="1"/>
    <n v="15000000"/>
    <n v="1"/>
    <d v="1899-12-30T00:08:20"/>
    <x v="0"/>
    <x v="1"/>
    <x v="3"/>
    <x v="1"/>
    <x v="1"/>
  </r>
  <r>
    <x v="1"/>
    <n v="20"/>
    <x v="2"/>
    <x v="0"/>
    <x v="2"/>
    <x v="5"/>
    <n v="0"/>
    <n v="1"/>
    <d v="1899-12-30T00:08:20"/>
    <x v="3"/>
    <x v="9"/>
    <x v="6"/>
    <x v="1"/>
    <x v="6"/>
  </r>
  <r>
    <x v="1"/>
    <n v="8"/>
    <x v="3"/>
    <x v="3"/>
    <x v="2"/>
    <x v="5"/>
    <n v="0"/>
    <n v="5"/>
    <d v="1899-12-30T00:08:20"/>
    <x v="3"/>
    <x v="9"/>
    <x v="0"/>
    <x v="2"/>
    <x v="8"/>
  </r>
  <r>
    <x v="1"/>
    <n v="31"/>
    <x v="10"/>
    <x v="0"/>
    <x v="2"/>
    <x v="5"/>
    <n v="0"/>
    <n v="1"/>
    <d v="1899-12-30T00:08:20"/>
    <x v="3"/>
    <x v="9"/>
    <x v="7"/>
    <x v="3"/>
    <x v="4"/>
  </r>
  <r>
    <x v="0"/>
    <n v="30"/>
    <x v="1"/>
    <x v="1"/>
    <x v="0"/>
    <x v="2"/>
    <n v="38000000"/>
    <n v="2"/>
    <d v="1899-12-30T00:08:40"/>
    <x v="1"/>
    <x v="7"/>
    <x v="0"/>
    <x v="1"/>
    <x v="2"/>
  </r>
  <r>
    <x v="0"/>
    <n v="28"/>
    <x v="2"/>
    <x v="0"/>
    <x v="2"/>
    <x v="2"/>
    <n v="12000000"/>
    <n v="2"/>
    <d v="1899-12-30T00:08:40"/>
    <x v="0"/>
    <x v="2"/>
    <x v="2"/>
    <x v="3"/>
    <x v="13"/>
  </r>
  <r>
    <x v="0"/>
    <n v="28"/>
    <x v="2"/>
    <x v="3"/>
    <x v="1"/>
    <x v="1"/>
    <n v="15000000"/>
    <n v="2"/>
    <d v="1899-12-30T00:08:40"/>
    <x v="0"/>
    <x v="0"/>
    <x v="2"/>
    <x v="3"/>
    <x v="13"/>
  </r>
  <r>
    <x v="0"/>
    <n v="30"/>
    <x v="2"/>
    <x v="5"/>
    <x v="1"/>
    <x v="1"/>
    <n v="15000000"/>
    <n v="4"/>
    <d v="1899-12-30T00:08:40"/>
    <x v="0"/>
    <x v="7"/>
    <x v="3"/>
    <x v="1"/>
    <x v="1"/>
  </r>
  <r>
    <x v="0"/>
    <n v="30"/>
    <x v="2"/>
    <x v="2"/>
    <x v="0"/>
    <x v="2"/>
    <n v="12000000"/>
    <n v="2"/>
    <d v="1899-12-30T00:08:40"/>
    <x v="0"/>
    <x v="7"/>
    <x v="5"/>
    <x v="1"/>
    <x v="1"/>
  </r>
  <r>
    <x v="0"/>
    <n v="6"/>
    <x v="2"/>
    <x v="5"/>
    <x v="1"/>
    <x v="1"/>
    <n v="15000000"/>
    <n v="4"/>
    <d v="1899-12-30T00:08:40"/>
    <x v="0"/>
    <x v="4"/>
    <x v="6"/>
    <x v="1"/>
    <x v="1"/>
  </r>
  <r>
    <x v="0"/>
    <n v="27"/>
    <x v="3"/>
    <x v="0"/>
    <x v="1"/>
    <x v="3"/>
    <n v="20000000"/>
    <n v="5"/>
    <d v="1899-12-30T00:08:40"/>
    <x v="2"/>
    <x v="7"/>
    <x v="7"/>
    <x v="1"/>
    <x v="6"/>
  </r>
  <r>
    <x v="0"/>
    <n v="11"/>
    <x v="3"/>
    <x v="4"/>
    <x v="0"/>
    <x v="0"/>
    <n v="7000000"/>
    <n v="1"/>
    <d v="1899-12-30T00:08:40"/>
    <x v="0"/>
    <x v="0"/>
    <x v="2"/>
    <x v="2"/>
    <x v="8"/>
  </r>
  <r>
    <x v="0"/>
    <n v="29"/>
    <x v="3"/>
    <x v="3"/>
    <x v="2"/>
    <x v="2"/>
    <n v="12000000"/>
    <n v="2"/>
    <d v="1899-12-30T00:08:40"/>
    <x v="0"/>
    <x v="3"/>
    <x v="2"/>
    <x v="0"/>
    <x v="5"/>
  </r>
  <r>
    <x v="0"/>
    <n v="7"/>
    <x v="3"/>
    <x v="3"/>
    <x v="0"/>
    <x v="2"/>
    <n v="12000000"/>
    <n v="7"/>
    <d v="1899-12-30T00:08:40"/>
    <x v="0"/>
    <x v="0"/>
    <x v="0"/>
    <x v="2"/>
    <x v="11"/>
  </r>
  <r>
    <x v="0"/>
    <n v="8"/>
    <x v="3"/>
    <x v="0"/>
    <x v="2"/>
    <x v="1"/>
    <n v="15000000"/>
    <n v="2"/>
    <d v="1899-12-30T00:08:40"/>
    <x v="0"/>
    <x v="1"/>
    <x v="5"/>
    <x v="1"/>
    <x v="14"/>
  </r>
  <r>
    <x v="0"/>
    <n v="11"/>
    <x v="3"/>
    <x v="1"/>
    <x v="4"/>
    <x v="3"/>
    <n v="20000000"/>
    <n v="5"/>
    <d v="1899-12-30T00:08:40"/>
    <x v="0"/>
    <x v="4"/>
    <x v="7"/>
    <x v="2"/>
    <x v="8"/>
  </r>
  <r>
    <x v="0"/>
    <n v="22"/>
    <x v="4"/>
    <x v="1"/>
    <x v="0"/>
    <x v="0"/>
    <n v="19000000"/>
    <n v="1"/>
    <d v="1899-12-30T00:08:40"/>
    <x v="1"/>
    <x v="2"/>
    <x v="4"/>
    <x v="1"/>
    <x v="1"/>
  </r>
  <r>
    <x v="0"/>
    <n v="6"/>
    <x v="4"/>
    <x v="0"/>
    <x v="2"/>
    <x v="3"/>
    <n v="20000000"/>
    <n v="1"/>
    <d v="1899-12-30T00:08:40"/>
    <x v="2"/>
    <x v="8"/>
    <x v="2"/>
    <x v="0"/>
    <x v="12"/>
  </r>
  <r>
    <x v="0"/>
    <n v="1"/>
    <x v="4"/>
    <x v="2"/>
    <x v="0"/>
    <x v="2"/>
    <n v="12000000"/>
    <n v="1"/>
    <d v="1899-12-30T00:08:40"/>
    <x v="0"/>
    <x v="2"/>
    <x v="2"/>
    <x v="0"/>
    <x v="7"/>
  </r>
  <r>
    <x v="0"/>
    <n v="14"/>
    <x v="4"/>
    <x v="3"/>
    <x v="2"/>
    <x v="4"/>
    <n v="25000000"/>
    <n v="1"/>
    <d v="1899-12-30T00:08:40"/>
    <x v="0"/>
    <x v="6"/>
    <x v="2"/>
    <x v="1"/>
    <x v="2"/>
  </r>
  <r>
    <x v="0"/>
    <n v="10"/>
    <x v="4"/>
    <x v="0"/>
    <x v="1"/>
    <x v="0"/>
    <n v="7000000"/>
    <n v="2"/>
    <d v="1899-12-30T00:08:40"/>
    <x v="0"/>
    <x v="8"/>
    <x v="6"/>
    <x v="0"/>
    <x v="12"/>
  </r>
  <r>
    <x v="0"/>
    <n v="13"/>
    <x v="10"/>
    <x v="2"/>
    <x v="2"/>
    <x v="0"/>
    <n v="19000000"/>
    <n v="2"/>
    <d v="1899-12-30T00:08:40"/>
    <x v="1"/>
    <x v="0"/>
    <x v="7"/>
    <x v="0"/>
    <x v="5"/>
  </r>
  <r>
    <x v="0"/>
    <n v="16"/>
    <x v="10"/>
    <x v="0"/>
    <x v="0"/>
    <x v="4"/>
    <n v="20000000"/>
    <n v="4"/>
    <d v="1899-12-30T00:08:40"/>
    <x v="0"/>
    <x v="7"/>
    <x v="3"/>
    <x v="1"/>
    <x v="6"/>
  </r>
  <r>
    <x v="0"/>
    <n v="17"/>
    <x v="10"/>
    <x v="2"/>
    <x v="2"/>
    <x v="4"/>
    <n v="21000000"/>
    <n v="6"/>
    <d v="1899-12-30T00:08:40"/>
    <x v="0"/>
    <x v="2"/>
    <x v="3"/>
    <x v="3"/>
    <x v="4"/>
  </r>
  <r>
    <x v="0"/>
    <n v="30"/>
    <x v="1"/>
    <x v="1"/>
    <x v="0"/>
    <x v="2"/>
    <n v="38000000"/>
    <n v="2"/>
    <d v="1899-12-30T00:08:40"/>
    <x v="1"/>
    <x v="7"/>
    <x v="0"/>
    <x v="1"/>
    <x v="2"/>
  </r>
  <r>
    <x v="1"/>
    <n v="5"/>
    <x v="5"/>
    <x v="0"/>
    <x v="3"/>
    <x v="5"/>
    <n v="0"/>
    <n v="4"/>
    <d v="1899-12-30T00:08:40"/>
    <x v="3"/>
    <x v="9"/>
    <x v="6"/>
    <x v="1"/>
    <x v="1"/>
  </r>
  <r>
    <x v="1"/>
    <n v="10"/>
    <x v="11"/>
    <x v="3"/>
    <x v="1"/>
    <x v="5"/>
    <n v="0"/>
    <n v="3"/>
    <d v="1899-12-30T00:08:40"/>
    <x v="3"/>
    <x v="9"/>
    <x v="7"/>
    <x v="3"/>
    <x v="4"/>
  </r>
  <r>
    <x v="1"/>
    <n v="12"/>
    <x v="1"/>
    <x v="3"/>
    <x v="3"/>
    <x v="5"/>
    <n v="0"/>
    <n v="1"/>
    <d v="1899-12-30T00:08:40"/>
    <x v="3"/>
    <x v="9"/>
    <x v="2"/>
    <x v="0"/>
    <x v="12"/>
  </r>
  <r>
    <x v="1"/>
    <n v="30"/>
    <x v="2"/>
    <x v="3"/>
    <x v="1"/>
    <x v="5"/>
    <n v="0"/>
    <n v="2"/>
    <d v="1899-12-30T00:08:40"/>
    <x v="3"/>
    <x v="9"/>
    <x v="7"/>
    <x v="0"/>
    <x v="5"/>
  </r>
  <r>
    <x v="1"/>
    <n v="30"/>
    <x v="10"/>
    <x v="0"/>
    <x v="2"/>
    <x v="5"/>
    <n v="0"/>
    <n v="5"/>
    <d v="1899-12-30T00:08:40"/>
    <x v="3"/>
    <x v="9"/>
    <x v="2"/>
    <x v="2"/>
    <x v="8"/>
  </r>
  <r>
    <x v="1"/>
    <n v="30"/>
    <x v="10"/>
    <x v="4"/>
    <x v="0"/>
    <x v="5"/>
    <n v="0"/>
    <n v="3"/>
    <d v="1899-12-30T00:08:40"/>
    <x v="3"/>
    <x v="9"/>
    <x v="4"/>
    <x v="3"/>
    <x v="13"/>
  </r>
  <r>
    <x v="1"/>
    <n v="5"/>
    <x v="5"/>
    <x v="0"/>
    <x v="3"/>
    <x v="5"/>
    <n v="0"/>
    <n v="4"/>
    <d v="1899-12-30T00:08:40"/>
    <x v="3"/>
    <x v="9"/>
    <x v="6"/>
    <x v="1"/>
    <x v="1"/>
  </r>
  <r>
    <x v="1"/>
    <n v="10"/>
    <x v="11"/>
    <x v="3"/>
    <x v="1"/>
    <x v="5"/>
    <n v="0"/>
    <n v="3"/>
    <d v="1899-12-30T00:08:40"/>
    <x v="3"/>
    <x v="9"/>
    <x v="7"/>
    <x v="3"/>
    <x v="4"/>
  </r>
  <r>
    <x v="0"/>
    <n v="26"/>
    <x v="1"/>
    <x v="1"/>
    <x v="2"/>
    <x v="1"/>
    <n v="15000000"/>
    <n v="2"/>
    <d v="1899-12-30T00:09:00"/>
    <x v="0"/>
    <x v="3"/>
    <x v="0"/>
    <x v="0"/>
    <x v="10"/>
  </r>
  <r>
    <x v="0"/>
    <n v="27"/>
    <x v="2"/>
    <x v="2"/>
    <x v="1"/>
    <x v="1"/>
    <n v="15000000"/>
    <n v="4"/>
    <d v="1899-12-30T00:09:00"/>
    <x v="0"/>
    <x v="7"/>
    <x v="4"/>
    <x v="1"/>
    <x v="2"/>
  </r>
  <r>
    <x v="0"/>
    <n v="30"/>
    <x v="2"/>
    <x v="5"/>
    <x v="3"/>
    <x v="1"/>
    <n v="15000000"/>
    <n v="2"/>
    <d v="1899-12-30T00:09:00"/>
    <x v="0"/>
    <x v="0"/>
    <x v="5"/>
    <x v="2"/>
    <x v="11"/>
  </r>
  <r>
    <x v="0"/>
    <n v="5"/>
    <x v="3"/>
    <x v="2"/>
    <x v="2"/>
    <x v="0"/>
    <n v="7000000"/>
    <n v="4"/>
    <d v="1899-12-30T00:09:00"/>
    <x v="0"/>
    <x v="2"/>
    <x v="2"/>
    <x v="0"/>
    <x v="12"/>
  </r>
  <r>
    <x v="0"/>
    <n v="28"/>
    <x v="3"/>
    <x v="0"/>
    <x v="2"/>
    <x v="4"/>
    <n v="20000000"/>
    <n v="2"/>
    <d v="1899-12-30T00:09:00"/>
    <x v="0"/>
    <x v="7"/>
    <x v="1"/>
    <x v="1"/>
    <x v="6"/>
  </r>
  <r>
    <x v="0"/>
    <n v="7"/>
    <x v="3"/>
    <x v="0"/>
    <x v="2"/>
    <x v="2"/>
    <n v="12000000"/>
    <n v="2"/>
    <d v="1899-12-30T00:09:00"/>
    <x v="0"/>
    <x v="0"/>
    <x v="6"/>
    <x v="0"/>
    <x v="10"/>
  </r>
  <r>
    <x v="0"/>
    <n v="20"/>
    <x v="4"/>
    <x v="0"/>
    <x v="2"/>
    <x v="3"/>
    <n v="20000000"/>
    <n v="2"/>
    <d v="1899-12-30T00:09:00"/>
    <x v="2"/>
    <x v="4"/>
    <x v="7"/>
    <x v="1"/>
    <x v="2"/>
  </r>
  <r>
    <x v="0"/>
    <n v="15"/>
    <x v="4"/>
    <x v="5"/>
    <x v="1"/>
    <x v="2"/>
    <n v="12000000"/>
    <n v="3"/>
    <d v="1899-12-30T00:09:00"/>
    <x v="0"/>
    <x v="8"/>
    <x v="3"/>
    <x v="0"/>
    <x v="12"/>
  </r>
  <r>
    <x v="0"/>
    <n v="18"/>
    <x v="4"/>
    <x v="0"/>
    <x v="1"/>
    <x v="2"/>
    <n v="12000000"/>
    <n v="1"/>
    <d v="1899-12-30T00:09:00"/>
    <x v="0"/>
    <x v="7"/>
    <x v="4"/>
    <x v="1"/>
    <x v="6"/>
  </r>
  <r>
    <x v="0"/>
    <n v="3"/>
    <x v="4"/>
    <x v="3"/>
    <x v="0"/>
    <x v="3"/>
    <n v="20000000"/>
    <n v="1"/>
    <d v="1899-12-30T00:09:00"/>
    <x v="0"/>
    <x v="4"/>
    <x v="5"/>
    <x v="0"/>
    <x v="7"/>
  </r>
  <r>
    <x v="1"/>
    <n v="11"/>
    <x v="7"/>
    <x v="0"/>
    <x v="0"/>
    <x v="5"/>
    <n v="0"/>
    <n v="1"/>
    <d v="1899-12-30T00:09:00"/>
    <x v="3"/>
    <x v="9"/>
    <x v="2"/>
    <x v="1"/>
    <x v="6"/>
  </r>
  <r>
    <x v="1"/>
    <n v="30"/>
    <x v="10"/>
    <x v="3"/>
    <x v="0"/>
    <x v="5"/>
    <n v="0"/>
    <n v="3"/>
    <d v="1899-12-30T00:09:00"/>
    <x v="3"/>
    <x v="9"/>
    <x v="2"/>
    <x v="3"/>
    <x v="13"/>
  </r>
  <r>
    <x v="1"/>
    <n v="27"/>
    <x v="10"/>
    <x v="4"/>
    <x v="2"/>
    <x v="5"/>
    <n v="0"/>
    <n v="1"/>
    <d v="1899-12-30T00:09:00"/>
    <x v="3"/>
    <x v="9"/>
    <x v="6"/>
    <x v="2"/>
    <x v="3"/>
  </r>
  <r>
    <x v="1"/>
    <n v="11"/>
    <x v="7"/>
    <x v="0"/>
    <x v="0"/>
    <x v="5"/>
    <n v="0"/>
    <n v="1"/>
    <d v="1899-12-30T00:09:00"/>
    <x v="3"/>
    <x v="9"/>
    <x v="2"/>
    <x v="1"/>
    <x v="6"/>
  </r>
  <r>
    <x v="0"/>
    <n v="31"/>
    <x v="8"/>
    <x v="4"/>
    <x v="2"/>
    <x v="2"/>
    <n v="12000000"/>
    <n v="4"/>
    <d v="1899-12-30T00:09:12"/>
    <x v="0"/>
    <x v="7"/>
    <x v="2"/>
    <x v="1"/>
    <x v="1"/>
  </r>
  <r>
    <x v="0"/>
    <n v="7"/>
    <x v="2"/>
    <x v="0"/>
    <x v="3"/>
    <x v="3"/>
    <n v="11000000"/>
    <n v="5"/>
    <d v="1899-12-30T00:09:12"/>
    <x v="2"/>
    <x v="4"/>
    <x v="3"/>
    <x v="1"/>
    <x v="6"/>
  </r>
  <r>
    <x v="0"/>
    <n v="21"/>
    <x v="3"/>
    <x v="0"/>
    <x v="4"/>
    <x v="3"/>
    <n v="20000000"/>
    <n v="2"/>
    <d v="1899-12-30T00:09:12"/>
    <x v="0"/>
    <x v="3"/>
    <x v="2"/>
    <x v="1"/>
    <x v="6"/>
  </r>
  <r>
    <x v="0"/>
    <n v="8"/>
    <x v="3"/>
    <x v="0"/>
    <x v="4"/>
    <x v="1"/>
    <n v="15000000"/>
    <n v="1"/>
    <d v="1899-12-30T00:09:12"/>
    <x v="0"/>
    <x v="8"/>
    <x v="4"/>
    <x v="0"/>
    <x v="7"/>
  </r>
  <r>
    <x v="0"/>
    <n v="8"/>
    <x v="3"/>
    <x v="3"/>
    <x v="2"/>
    <x v="2"/>
    <n v="12000000"/>
    <n v="4"/>
    <d v="1899-12-30T00:09:12"/>
    <x v="0"/>
    <x v="4"/>
    <x v="1"/>
    <x v="2"/>
    <x v="8"/>
  </r>
  <r>
    <x v="0"/>
    <n v="22"/>
    <x v="4"/>
    <x v="1"/>
    <x v="0"/>
    <x v="0"/>
    <n v="7000000"/>
    <n v="1"/>
    <d v="1899-12-30T00:09:12"/>
    <x v="0"/>
    <x v="2"/>
    <x v="7"/>
    <x v="3"/>
    <x v="13"/>
  </r>
  <r>
    <x v="0"/>
    <n v="25"/>
    <x v="4"/>
    <x v="0"/>
    <x v="2"/>
    <x v="1"/>
    <n v="15000000"/>
    <n v="3"/>
    <d v="1899-12-30T00:09:12"/>
    <x v="0"/>
    <x v="0"/>
    <x v="2"/>
    <x v="0"/>
    <x v="5"/>
  </r>
  <r>
    <x v="0"/>
    <n v="7"/>
    <x v="4"/>
    <x v="0"/>
    <x v="2"/>
    <x v="4"/>
    <n v="25000000"/>
    <n v="3"/>
    <d v="1899-12-30T00:09:12"/>
    <x v="0"/>
    <x v="1"/>
    <x v="0"/>
    <x v="0"/>
    <x v="9"/>
  </r>
  <r>
    <x v="0"/>
    <n v="1"/>
    <x v="10"/>
    <x v="1"/>
    <x v="3"/>
    <x v="4"/>
    <n v="25000000"/>
    <n v="3"/>
    <d v="1899-12-30T00:09:12"/>
    <x v="0"/>
    <x v="4"/>
    <x v="2"/>
    <x v="2"/>
    <x v="11"/>
  </r>
  <r>
    <x v="0"/>
    <n v="17"/>
    <x v="10"/>
    <x v="0"/>
    <x v="2"/>
    <x v="2"/>
    <n v="12000000"/>
    <n v="2"/>
    <d v="1899-12-30T00:09:12"/>
    <x v="0"/>
    <x v="7"/>
    <x v="5"/>
    <x v="1"/>
    <x v="6"/>
  </r>
  <r>
    <x v="0"/>
    <n v="31"/>
    <x v="8"/>
    <x v="4"/>
    <x v="2"/>
    <x v="2"/>
    <n v="12000000"/>
    <n v="4"/>
    <d v="1899-12-30T00:09:12"/>
    <x v="0"/>
    <x v="7"/>
    <x v="2"/>
    <x v="1"/>
    <x v="1"/>
  </r>
  <r>
    <x v="1"/>
    <n v="12"/>
    <x v="1"/>
    <x v="3"/>
    <x v="1"/>
    <x v="5"/>
    <n v="0"/>
    <n v="3"/>
    <d v="1899-12-30T00:09:12"/>
    <x v="3"/>
    <x v="9"/>
    <x v="6"/>
    <x v="3"/>
    <x v="13"/>
  </r>
  <r>
    <x v="1"/>
    <n v="17"/>
    <x v="4"/>
    <x v="1"/>
    <x v="1"/>
    <x v="5"/>
    <n v="0"/>
    <n v="1"/>
    <d v="1899-12-30T00:09:12"/>
    <x v="3"/>
    <x v="9"/>
    <x v="6"/>
    <x v="2"/>
    <x v="8"/>
  </r>
  <r>
    <x v="1"/>
    <n v="14"/>
    <x v="10"/>
    <x v="1"/>
    <x v="2"/>
    <x v="5"/>
    <n v="0"/>
    <n v="4"/>
    <d v="1899-12-30T00:09:12"/>
    <x v="3"/>
    <x v="9"/>
    <x v="7"/>
    <x v="1"/>
    <x v="2"/>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0"/>
    <n v="30"/>
    <x v="2"/>
    <x v="2"/>
    <x v="1"/>
    <x v="2"/>
    <n v="12000000"/>
    <n v="4"/>
    <d v="1899-12-30T00:09:15"/>
    <x v="0"/>
    <x v="0"/>
    <x v="3"/>
    <x v="0"/>
    <x v="12"/>
  </r>
  <r>
    <x v="0"/>
    <n v="25"/>
    <x v="3"/>
    <x v="0"/>
    <x v="0"/>
    <x v="0"/>
    <n v="19000000"/>
    <n v="3"/>
    <d v="1899-12-30T00:09:15"/>
    <x v="1"/>
    <x v="1"/>
    <x v="2"/>
    <x v="1"/>
    <x v="1"/>
  </r>
  <r>
    <x v="0"/>
    <n v="10"/>
    <x v="3"/>
    <x v="0"/>
    <x v="0"/>
    <x v="3"/>
    <n v="11000000"/>
    <n v="5"/>
    <d v="1899-12-30T00:09:15"/>
    <x v="2"/>
    <x v="2"/>
    <x v="6"/>
    <x v="1"/>
    <x v="1"/>
  </r>
  <r>
    <x v="0"/>
    <n v="28"/>
    <x v="3"/>
    <x v="4"/>
    <x v="2"/>
    <x v="0"/>
    <n v="7000000"/>
    <n v="1"/>
    <d v="1899-12-30T00:09:15"/>
    <x v="0"/>
    <x v="7"/>
    <x v="4"/>
    <x v="0"/>
    <x v="12"/>
  </r>
  <r>
    <x v="0"/>
    <n v="13"/>
    <x v="4"/>
    <x v="3"/>
    <x v="1"/>
    <x v="3"/>
    <n v="20000000"/>
    <n v="5"/>
    <d v="1899-12-30T00:09:15"/>
    <x v="0"/>
    <x v="1"/>
    <x v="2"/>
    <x v="1"/>
    <x v="2"/>
  </r>
  <r>
    <x v="0"/>
    <n v="3"/>
    <x v="4"/>
    <x v="0"/>
    <x v="2"/>
    <x v="1"/>
    <n v="15000000"/>
    <n v="2"/>
    <d v="1899-12-30T00:09:15"/>
    <x v="0"/>
    <x v="7"/>
    <x v="1"/>
    <x v="2"/>
    <x v="8"/>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1"/>
    <n v="13"/>
    <x v="5"/>
    <x v="0"/>
    <x v="3"/>
    <x v="5"/>
    <n v="0"/>
    <n v="2"/>
    <d v="1899-12-30T00:09:15"/>
    <x v="3"/>
    <x v="9"/>
    <x v="5"/>
    <x v="3"/>
    <x v="13"/>
  </r>
  <r>
    <x v="1"/>
    <n v="29"/>
    <x v="2"/>
    <x v="1"/>
    <x v="1"/>
    <x v="5"/>
    <n v="0"/>
    <n v="2"/>
    <d v="1899-12-30T00:09:15"/>
    <x v="3"/>
    <x v="9"/>
    <x v="5"/>
    <x v="1"/>
    <x v="1"/>
  </r>
  <r>
    <x v="1"/>
    <n v="30"/>
    <x v="10"/>
    <x v="1"/>
    <x v="2"/>
    <x v="5"/>
    <n v="0"/>
    <n v="4"/>
    <d v="1899-12-30T00:09:15"/>
    <x v="3"/>
    <x v="9"/>
    <x v="2"/>
    <x v="2"/>
    <x v="11"/>
  </r>
  <r>
    <x v="1"/>
    <n v="13"/>
    <x v="5"/>
    <x v="0"/>
    <x v="3"/>
    <x v="5"/>
    <n v="0"/>
    <n v="2"/>
    <d v="1899-12-30T00:09:15"/>
    <x v="3"/>
    <x v="9"/>
    <x v="5"/>
    <x v="3"/>
    <x v="13"/>
  </r>
  <r>
    <x v="0"/>
    <n v="12"/>
    <x v="5"/>
    <x v="2"/>
    <x v="2"/>
    <x v="2"/>
    <n v="12000000"/>
    <n v="3"/>
    <d v="1899-12-30T00:09:36"/>
    <x v="0"/>
    <x v="0"/>
    <x v="2"/>
    <x v="2"/>
    <x v="8"/>
  </r>
  <r>
    <x v="0"/>
    <n v="1"/>
    <x v="11"/>
    <x v="1"/>
    <x v="2"/>
    <x v="4"/>
    <n v="25000000"/>
    <n v="1"/>
    <d v="1899-12-30T00:09:36"/>
    <x v="0"/>
    <x v="2"/>
    <x v="5"/>
    <x v="1"/>
    <x v="2"/>
  </r>
  <r>
    <x v="0"/>
    <n v="11"/>
    <x v="2"/>
    <x v="4"/>
    <x v="4"/>
    <x v="0"/>
    <n v="7000000"/>
    <n v="2"/>
    <d v="1899-12-30T00:09:36"/>
    <x v="0"/>
    <x v="7"/>
    <x v="7"/>
    <x v="3"/>
    <x v="13"/>
  </r>
  <r>
    <x v="0"/>
    <n v="12"/>
    <x v="3"/>
    <x v="0"/>
    <x v="2"/>
    <x v="2"/>
    <n v="38000000"/>
    <n v="3"/>
    <d v="1899-12-30T00:09:36"/>
    <x v="1"/>
    <x v="7"/>
    <x v="6"/>
    <x v="1"/>
    <x v="6"/>
  </r>
  <r>
    <x v="0"/>
    <n v="28"/>
    <x v="3"/>
    <x v="4"/>
    <x v="0"/>
    <x v="1"/>
    <n v="15000000"/>
    <n v="1"/>
    <d v="1899-12-30T00:09:36"/>
    <x v="0"/>
    <x v="1"/>
    <x v="3"/>
    <x v="0"/>
    <x v="5"/>
  </r>
  <r>
    <x v="0"/>
    <n v="8"/>
    <x v="3"/>
    <x v="2"/>
    <x v="3"/>
    <x v="2"/>
    <n v="12000000"/>
    <n v="4"/>
    <d v="1899-12-30T00:09:36"/>
    <x v="0"/>
    <x v="2"/>
    <x v="7"/>
    <x v="1"/>
    <x v="2"/>
  </r>
  <r>
    <x v="0"/>
    <n v="11"/>
    <x v="4"/>
    <x v="1"/>
    <x v="0"/>
    <x v="2"/>
    <n v="12000000"/>
    <n v="1"/>
    <d v="1899-12-30T00:09:36"/>
    <x v="0"/>
    <x v="4"/>
    <x v="5"/>
    <x v="1"/>
    <x v="1"/>
  </r>
  <r>
    <x v="0"/>
    <n v="22"/>
    <x v="4"/>
    <x v="2"/>
    <x v="0"/>
    <x v="3"/>
    <n v="20000000"/>
    <n v="4"/>
    <d v="1899-12-30T00:09:36"/>
    <x v="0"/>
    <x v="0"/>
    <x v="4"/>
    <x v="0"/>
    <x v="5"/>
  </r>
  <r>
    <x v="0"/>
    <n v="12"/>
    <x v="5"/>
    <x v="2"/>
    <x v="2"/>
    <x v="2"/>
    <n v="12000000"/>
    <n v="3"/>
    <d v="1899-12-30T00:09:36"/>
    <x v="0"/>
    <x v="0"/>
    <x v="2"/>
    <x v="2"/>
    <x v="8"/>
  </r>
  <r>
    <x v="0"/>
    <n v="1"/>
    <x v="11"/>
    <x v="1"/>
    <x v="2"/>
    <x v="4"/>
    <n v="25000000"/>
    <n v="1"/>
    <d v="1899-12-30T00:09:36"/>
    <x v="0"/>
    <x v="2"/>
    <x v="5"/>
    <x v="1"/>
    <x v="2"/>
  </r>
  <r>
    <x v="1"/>
    <n v="27"/>
    <x v="2"/>
    <x v="0"/>
    <x v="0"/>
    <x v="5"/>
    <n v="0"/>
    <n v="1"/>
    <d v="1899-12-30T00:09:36"/>
    <x v="3"/>
    <x v="9"/>
    <x v="3"/>
    <x v="2"/>
    <x v="11"/>
  </r>
  <r>
    <x v="1"/>
    <n v="3"/>
    <x v="3"/>
    <x v="0"/>
    <x v="2"/>
    <x v="5"/>
    <n v="0"/>
    <n v="1"/>
    <d v="1899-12-30T00:09:36"/>
    <x v="3"/>
    <x v="9"/>
    <x v="2"/>
    <x v="0"/>
    <x v="9"/>
  </r>
  <r>
    <x v="1"/>
    <n v="11"/>
    <x v="4"/>
    <x v="0"/>
    <x v="0"/>
    <x v="5"/>
    <n v="0"/>
    <n v="3"/>
    <d v="1899-12-30T00:09:36"/>
    <x v="3"/>
    <x v="9"/>
    <x v="4"/>
    <x v="0"/>
    <x v="5"/>
  </r>
  <r>
    <x v="1"/>
    <n v="10"/>
    <x v="4"/>
    <x v="2"/>
    <x v="1"/>
    <x v="5"/>
    <n v="0"/>
    <n v="5"/>
    <d v="1899-12-30T00:09:36"/>
    <x v="3"/>
    <x v="9"/>
    <x v="7"/>
    <x v="0"/>
    <x v="10"/>
  </r>
  <r>
    <x v="0"/>
    <n v="12"/>
    <x v="9"/>
    <x v="1"/>
    <x v="2"/>
    <x v="1"/>
    <n v="15000000"/>
    <n v="3"/>
    <d v="1899-12-30T00:10:10"/>
    <x v="0"/>
    <x v="8"/>
    <x v="6"/>
    <x v="2"/>
    <x v="11"/>
  </r>
  <r>
    <x v="0"/>
    <n v="13"/>
    <x v="1"/>
    <x v="0"/>
    <x v="2"/>
    <x v="1"/>
    <n v="15000000"/>
    <n v="1"/>
    <d v="1899-12-30T00:10:10"/>
    <x v="0"/>
    <x v="5"/>
    <x v="3"/>
    <x v="1"/>
    <x v="2"/>
  </r>
  <r>
    <x v="0"/>
    <n v="11"/>
    <x v="1"/>
    <x v="4"/>
    <x v="0"/>
    <x v="0"/>
    <n v="7000000"/>
    <n v="3"/>
    <d v="1899-12-30T00:10:10"/>
    <x v="0"/>
    <x v="7"/>
    <x v="0"/>
    <x v="0"/>
    <x v="5"/>
  </r>
  <r>
    <x v="0"/>
    <n v="7"/>
    <x v="2"/>
    <x v="2"/>
    <x v="2"/>
    <x v="2"/>
    <n v="12000000"/>
    <n v="4"/>
    <d v="1899-12-30T00:10:10"/>
    <x v="0"/>
    <x v="4"/>
    <x v="4"/>
    <x v="0"/>
    <x v="9"/>
  </r>
  <r>
    <x v="0"/>
    <n v="9"/>
    <x v="2"/>
    <x v="1"/>
    <x v="1"/>
    <x v="1"/>
    <n v="15000000"/>
    <n v="4"/>
    <d v="1899-12-30T00:10:10"/>
    <x v="0"/>
    <x v="0"/>
    <x v="3"/>
    <x v="2"/>
    <x v="8"/>
  </r>
  <r>
    <x v="0"/>
    <n v="24"/>
    <x v="2"/>
    <x v="1"/>
    <x v="3"/>
    <x v="2"/>
    <n v="12000000"/>
    <n v="2"/>
    <d v="1899-12-30T00:10:10"/>
    <x v="0"/>
    <x v="4"/>
    <x v="7"/>
    <x v="1"/>
    <x v="6"/>
  </r>
  <r>
    <x v="0"/>
    <n v="28"/>
    <x v="3"/>
    <x v="3"/>
    <x v="2"/>
    <x v="3"/>
    <n v="20000000"/>
    <n v="1"/>
    <d v="1899-12-30T00:10:10"/>
    <x v="0"/>
    <x v="0"/>
    <x v="2"/>
    <x v="0"/>
    <x v="9"/>
  </r>
  <r>
    <x v="0"/>
    <n v="25"/>
    <x v="3"/>
    <x v="1"/>
    <x v="4"/>
    <x v="4"/>
    <n v="20000000"/>
    <n v="5"/>
    <d v="1899-12-30T00:10:10"/>
    <x v="0"/>
    <x v="3"/>
    <x v="5"/>
    <x v="1"/>
    <x v="2"/>
  </r>
  <r>
    <x v="0"/>
    <n v="29"/>
    <x v="3"/>
    <x v="1"/>
    <x v="1"/>
    <x v="2"/>
    <n v="12000000"/>
    <n v="2"/>
    <d v="1899-12-30T00:10:10"/>
    <x v="0"/>
    <x v="5"/>
    <x v="7"/>
    <x v="1"/>
    <x v="1"/>
  </r>
  <r>
    <x v="0"/>
    <n v="25"/>
    <x v="10"/>
    <x v="0"/>
    <x v="1"/>
    <x v="3"/>
    <n v="20000000"/>
    <n v="1"/>
    <d v="1899-12-30T00:10:10"/>
    <x v="2"/>
    <x v="6"/>
    <x v="5"/>
    <x v="3"/>
    <x v="13"/>
  </r>
  <r>
    <x v="0"/>
    <n v="12"/>
    <x v="9"/>
    <x v="1"/>
    <x v="2"/>
    <x v="1"/>
    <n v="15000000"/>
    <n v="3"/>
    <d v="1899-12-30T00:10:10"/>
    <x v="0"/>
    <x v="8"/>
    <x v="6"/>
    <x v="2"/>
    <x v="11"/>
  </r>
  <r>
    <x v="0"/>
    <n v="13"/>
    <x v="1"/>
    <x v="0"/>
    <x v="2"/>
    <x v="1"/>
    <n v="15000000"/>
    <n v="1"/>
    <d v="1899-12-30T00:10:10"/>
    <x v="0"/>
    <x v="5"/>
    <x v="3"/>
    <x v="1"/>
    <x v="2"/>
  </r>
  <r>
    <x v="1"/>
    <n v="21"/>
    <x v="2"/>
    <x v="0"/>
    <x v="2"/>
    <x v="5"/>
    <n v="0"/>
    <n v="2"/>
    <d v="1899-12-30T00:10:10"/>
    <x v="3"/>
    <x v="9"/>
    <x v="3"/>
    <x v="0"/>
    <x v="12"/>
  </r>
  <r>
    <x v="1"/>
    <n v="25"/>
    <x v="4"/>
    <x v="1"/>
    <x v="2"/>
    <x v="5"/>
    <n v="0"/>
    <n v="2"/>
    <d v="1899-12-30T00:10:10"/>
    <x v="3"/>
    <x v="9"/>
    <x v="1"/>
    <x v="1"/>
    <x v="6"/>
  </r>
  <r>
    <x v="1"/>
    <n v="11"/>
    <x v="4"/>
    <x v="2"/>
    <x v="4"/>
    <x v="5"/>
    <n v="0"/>
    <n v="2"/>
    <d v="1899-12-30T00:10:10"/>
    <x v="3"/>
    <x v="9"/>
    <x v="6"/>
    <x v="0"/>
    <x v="5"/>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0"/>
    <n v="30"/>
    <x v="2"/>
    <x v="1"/>
    <x v="2"/>
    <x v="2"/>
    <n v="10000000"/>
    <n v="1"/>
    <d v="1899-12-30T00:11:20"/>
    <x v="0"/>
    <x v="7"/>
    <x v="0"/>
    <x v="0"/>
    <x v="0"/>
  </r>
  <r>
    <x v="0"/>
    <n v="14"/>
    <x v="3"/>
    <x v="0"/>
    <x v="1"/>
    <x v="0"/>
    <n v="19000000"/>
    <n v="2"/>
    <d v="1899-12-30T00:11:20"/>
    <x v="1"/>
    <x v="2"/>
    <x v="6"/>
    <x v="3"/>
    <x v="4"/>
  </r>
  <r>
    <x v="0"/>
    <n v="19"/>
    <x v="3"/>
    <x v="1"/>
    <x v="1"/>
    <x v="0"/>
    <n v="7000000"/>
    <n v="4"/>
    <d v="1899-12-30T00:11:20"/>
    <x v="0"/>
    <x v="1"/>
    <x v="3"/>
    <x v="1"/>
    <x v="14"/>
  </r>
  <r>
    <x v="0"/>
    <n v="3"/>
    <x v="3"/>
    <x v="0"/>
    <x v="3"/>
    <x v="1"/>
    <n v="12000000"/>
    <n v="2"/>
    <d v="1899-12-30T00:11:20"/>
    <x v="0"/>
    <x v="4"/>
    <x v="7"/>
    <x v="1"/>
    <x v="1"/>
  </r>
  <r>
    <x v="0"/>
    <n v="3"/>
    <x v="4"/>
    <x v="2"/>
    <x v="1"/>
    <x v="2"/>
    <n v="38000000"/>
    <n v="2"/>
    <d v="1899-12-30T00:11:20"/>
    <x v="1"/>
    <x v="8"/>
    <x v="3"/>
    <x v="1"/>
    <x v="2"/>
  </r>
  <r>
    <x v="0"/>
    <n v="12"/>
    <x v="4"/>
    <x v="4"/>
    <x v="2"/>
    <x v="1"/>
    <n v="15000000"/>
    <n v="1"/>
    <d v="1899-12-30T00:11:20"/>
    <x v="0"/>
    <x v="2"/>
    <x v="7"/>
    <x v="0"/>
    <x v="7"/>
  </r>
  <r>
    <x v="0"/>
    <n v="22"/>
    <x v="4"/>
    <x v="0"/>
    <x v="4"/>
    <x v="2"/>
    <n v="12000000"/>
    <n v="3"/>
    <d v="1899-12-30T00:11:20"/>
    <x v="0"/>
    <x v="0"/>
    <x v="4"/>
    <x v="0"/>
    <x v="10"/>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1"/>
    <n v="5"/>
    <x v="3"/>
    <x v="0"/>
    <x v="2"/>
    <x v="5"/>
    <n v="0"/>
    <n v="3"/>
    <d v="1899-12-30T00:11:20"/>
    <x v="3"/>
    <x v="9"/>
    <x v="2"/>
    <x v="1"/>
    <x v="2"/>
  </r>
  <r>
    <x v="1"/>
    <n v="10"/>
    <x v="10"/>
    <x v="0"/>
    <x v="1"/>
    <x v="5"/>
    <n v="0"/>
    <n v="2"/>
    <d v="1899-12-30T00:11:20"/>
    <x v="3"/>
    <x v="9"/>
    <x v="4"/>
    <x v="3"/>
    <x v="4"/>
  </r>
  <r>
    <x v="1"/>
    <n v="10"/>
    <x v="10"/>
    <x v="4"/>
    <x v="2"/>
    <x v="5"/>
    <n v="0"/>
    <n v="2"/>
    <d v="1899-12-30T00:11:20"/>
    <x v="3"/>
    <x v="9"/>
    <x v="0"/>
    <x v="0"/>
    <x v="7"/>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0"/>
    <n v="11"/>
    <x v="1"/>
    <x v="1"/>
    <x v="1"/>
    <x v="0"/>
    <n v="7000000"/>
    <n v="6"/>
    <d v="1899-12-30T00:12:45"/>
    <x v="0"/>
    <x v="2"/>
    <x v="1"/>
    <x v="1"/>
    <x v="14"/>
  </r>
  <r>
    <x v="0"/>
    <n v="28"/>
    <x v="2"/>
    <x v="2"/>
    <x v="2"/>
    <x v="1"/>
    <n v="11000000"/>
    <n v="2"/>
    <d v="1899-12-30T00:12:45"/>
    <x v="0"/>
    <x v="2"/>
    <x v="1"/>
    <x v="0"/>
    <x v="0"/>
  </r>
  <r>
    <x v="0"/>
    <n v="16"/>
    <x v="2"/>
    <x v="1"/>
    <x v="1"/>
    <x v="4"/>
    <n v="20000000"/>
    <n v="5"/>
    <d v="1899-12-30T00:12:45"/>
    <x v="0"/>
    <x v="0"/>
    <x v="4"/>
    <x v="2"/>
    <x v="11"/>
  </r>
  <r>
    <x v="0"/>
    <n v="30"/>
    <x v="2"/>
    <x v="4"/>
    <x v="0"/>
    <x v="2"/>
    <n v="10000000"/>
    <n v="1"/>
    <d v="1899-12-30T00:12:45"/>
    <x v="0"/>
    <x v="0"/>
    <x v="6"/>
    <x v="3"/>
    <x v="13"/>
  </r>
  <r>
    <x v="0"/>
    <n v="8"/>
    <x v="3"/>
    <x v="1"/>
    <x v="2"/>
    <x v="0"/>
    <n v="19000000"/>
    <n v="4"/>
    <d v="1899-12-30T00:12:45"/>
    <x v="1"/>
    <x v="0"/>
    <x v="5"/>
    <x v="3"/>
    <x v="13"/>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1"/>
    <n v="22"/>
    <x v="2"/>
    <x v="3"/>
    <x v="1"/>
    <x v="5"/>
    <n v="0"/>
    <n v="3"/>
    <d v="1899-12-30T00:12:45"/>
    <x v="3"/>
    <x v="9"/>
    <x v="2"/>
    <x v="1"/>
    <x v="2"/>
  </r>
  <r>
    <x v="1"/>
    <n v="25"/>
    <x v="3"/>
    <x v="3"/>
    <x v="1"/>
    <x v="5"/>
    <n v="0"/>
    <n v="5"/>
    <d v="1899-12-30T00:12:45"/>
    <x v="3"/>
    <x v="9"/>
    <x v="5"/>
    <x v="0"/>
    <x v="0"/>
  </r>
  <r>
    <x v="1"/>
    <n v="16"/>
    <x v="4"/>
    <x v="0"/>
    <x v="2"/>
    <x v="5"/>
    <n v="0"/>
    <n v="3"/>
    <d v="1899-12-30T00:12:45"/>
    <x v="3"/>
    <x v="9"/>
    <x v="3"/>
    <x v="3"/>
    <x v="13"/>
  </r>
  <r>
    <x v="1"/>
    <n v="30"/>
    <x v="4"/>
    <x v="2"/>
    <x v="2"/>
    <x v="5"/>
    <n v="0"/>
    <n v="5"/>
    <d v="1899-12-30T00:12:45"/>
    <x v="3"/>
    <x v="9"/>
    <x v="6"/>
    <x v="1"/>
    <x v="6"/>
  </r>
  <r>
    <x v="1"/>
    <n v="1"/>
    <x v="10"/>
    <x v="1"/>
    <x v="0"/>
    <x v="5"/>
    <n v="0"/>
    <n v="2"/>
    <d v="1899-12-30T00:12:45"/>
    <x v="3"/>
    <x v="9"/>
    <x v="1"/>
    <x v="1"/>
    <x v="1"/>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0"/>
    <n v="21"/>
    <x v="2"/>
    <x v="0"/>
    <x v="1"/>
    <x v="2"/>
    <n v="38000000"/>
    <n v="3"/>
    <d v="1899-12-30T00:12:55"/>
    <x v="1"/>
    <x v="4"/>
    <x v="1"/>
    <x v="1"/>
    <x v="6"/>
  </r>
  <r>
    <x v="0"/>
    <n v="30"/>
    <x v="2"/>
    <x v="3"/>
    <x v="2"/>
    <x v="1"/>
    <n v="15000000"/>
    <n v="5"/>
    <d v="1899-12-30T00:12:55"/>
    <x v="0"/>
    <x v="0"/>
    <x v="7"/>
    <x v="1"/>
    <x v="15"/>
  </r>
  <r>
    <x v="0"/>
    <n v="13"/>
    <x v="3"/>
    <x v="0"/>
    <x v="2"/>
    <x v="2"/>
    <n v="38000000"/>
    <n v="1"/>
    <d v="1899-12-30T00:12:55"/>
    <x v="1"/>
    <x v="6"/>
    <x v="7"/>
    <x v="3"/>
    <x v="13"/>
  </r>
  <r>
    <x v="0"/>
    <n v="2"/>
    <x v="3"/>
    <x v="0"/>
    <x v="1"/>
    <x v="2"/>
    <n v="10000000"/>
    <n v="5"/>
    <d v="1899-12-30T00:12:55"/>
    <x v="0"/>
    <x v="0"/>
    <x v="2"/>
    <x v="0"/>
    <x v="7"/>
  </r>
  <r>
    <x v="0"/>
    <n v="4"/>
    <x v="3"/>
    <x v="1"/>
    <x v="1"/>
    <x v="3"/>
    <n v="20000000"/>
    <n v="2"/>
    <d v="1899-12-30T00:12:55"/>
    <x v="0"/>
    <x v="2"/>
    <x v="2"/>
    <x v="2"/>
    <x v="8"/>
  </r>
  <r>
    <x v="0"/>
    <n v="6"/>
    <x v="3"/>
    <x v="3"/>
    <x v="3"/>
    <x v="2"/>
    <n v="12000000"/>
    <n v="2"/>
    <d v="1899-12-30T00:12:55"/>
    <x v="0"/>
    <x v="7"/>
    <x v="2"/>
    <x v="1"/>
    <x v="1"/>
  </r>
  <r>
    <x v="0"/>
    <n v="23"/>
    <x v="3"/>
    <x v="5"/>
    <x v="0"/>
    <x v="1"/>
    <n v="15000000"/>
    <n v="1"/>
    <d v="1899-12-30T00:12:55"/>
    <x v="0"/>
    <x v="3"/>
    <x v="7"/>
    <x v="0"/>
    <x v="12"/>
  </r>
  <r>
    <x v="0"/>
    <n v="8"/>
    <x v="3"/>
    <x v="3"/>
    <x v="2"/>
    <x v="2"/>
    <n v="12000000"/>
    <n v="2"/>
    <d v="1899-12-30T00:12:55"/>
    <x v="0"/>
    <x v="4"/>
    <x v="4"/>
    <x v="0"/>
    <x v="0"/>
  </r>
  <r>
    <x v="0"/>
    <n v="1"/>
    <x v="3"/>
    <x v="1"/>
    <x v="1"/>
    <x v="2"/>
    <n v="12000000"/>
    <n v="2"/>
    <d v="1899-12-30T00:12:55"/>
    <x v="0"/>
    <x v="0"/>
    <x v="5"/>
    <x v="1"/>
    <x v="1"/>
  </r>
  <r>
    <x v="0"/>
    <n v="20"/>
    <x v="3"/>
    <x v="3"/>
    <x v="1"/>
    <x v="4"/>
    <n v="21000000"/>
    <n v="2"/>
    <d v="1899-12-30T00:12:55"/>
    <x v="0"/>
    <x v="7"/>
    <x v="5"/>
    <x v="0"/>
    <x v="7"/>
  </r>
  <r>
    <x v="0"/>
    <n v="11"/>
    <x v="4"/>
    <x v="2"/>
    <x v="2"/>
    <x v="2"/>
    <n v="12000000"/>
    <n v="1"/>
    <d v="1899-12-30T00:12:55"/>
    <x v="0"/>
    <x v="2"/>
    <x v="0"/>
    <x v="0"/>
    <x v="0"/>
  </r>
  <r>
    <x v="0"/>
    <n v="3"/>
    <x v="4"/>
    <x v="5"/>
    <x v="2"/>
    <x v="4"/>
    <n v="25000000"/>
    <n v="1"/>
    <d v="1899-12-30T00:12:55"/>
    <x v="0"/>
    <x v="1"/>
    <x v="5"/>
    <x v="1"/>
    <x v="6"/>
  </r>
  <r>
    <x v="0"/>
    <n v="30"/>
    <x v="10"/>
    <x v="3"/>
    <x v="1"/>
    <x v="0"/>
    <n v="19000000"/>
    <n v="2"/>
    <d v="1899-12-30T00:12:55"/>
    <x v="1"/>
    <x v="2"/>
    <x v="6"/>
    <x v="1"/>
    <x v="15"/>
  </r>
  <r>
    <x v="0"/>
    <n v="28"/>
    <x v="10"/>
    <x v="3"/>
    <x v="0"/>
    <x v="3"/>
    <n v="20000000"/>
    <n v="1"/>
    <d v="1899-12-30T00:12:55"/>
    <x v="2"/>
    <x v="2"/>
    <x v="3"/>
    <x v="3"/>
    <x v="4"/>
  </r>
  <r>
    <x v="0"/>
    <n v="1"/>
    <x v="10"/>
    <x v="0"/>
    <x v="2"/>
    <x v="4"/>
    <n v="25000000"/>
    <n v="3"/>
    <d v="1899-12-30T00:12:55"/>
    <x v="0"/>
    <x v="1"/>
    <x v="2"/>
    <x v="3"/>
    <x v="4"/>
  </r>
  <r>
    <x v="0"/>
    <n v="30"/>
    <x v="10"/>
    <x v="1"/>
    <x v="2"/>
    <x v="0"/>
    <n v="7000000"/>
    <n v="1"/>
    <d v="1899-12-30T00:12:55"/>
    <x v="0"/>
    <x v="7"/>
    <x v="2"/>
    <x v="0"/>
    <x v="9"/>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1"/>
    <n v="11"/>
    <x v="6"/>
    <x v="2"/>
    <x v="1"/>
    <x v="5"/>
    <n v="0"/>
    <n v="2"/>
    <d v="1899-12-30T00:12:55"/>
    <x v="3"/>
    <x v="9"/>
    <x v="6"/>
    <x v="1"/>
    <x v="6"/>
  </r>
  <r>
    <x v="1"/>
    <n v="12"/>
    <x v="7"/>
    <x v="0"/>
    <x v="1"/>
    <x v="5"/>
    <n v="0"/>
    <n v="2"/>
    <d v="1899-12-30T00:12:55"/>
    <x v="3"/>
    <x v="9"/>
    <x v="6"/>
    <x v="2"/>
    <x v="8"/>
  </r>
  <r>
    <x v="1"/>
    <n v="30"/>
    <x v="2"/>
    <x v="2"/>
    <x v="4"/>
    <x v="5"/>
    <n v="0"/>
    <n v="2"/>
    <d v="1899-12-30T00:12:55"/>
    <x v="3"/>
    <x v="9"/>
    <x v="7"/>
    <x v="0"/>
    <x v="0"/>
  </r>
  <r>
    <x v="1"/>
    <n v="14"/>
    <x v="3"/>
    <x v="5"/>
    <x v="3"/>
    <x v="5"/>
    <n v="0"/>
    <n v="2"/>
    <d v="1899-12-30T00:12:55"/>
    <x v="3"/>
    <x v="9"/>
    <x v="0"/>
    <x v="2"/>
    <x v="8"/>
  </r>
  <r>
    <x v="1"/>
    <n v="18"/>
    <x v="4"/>
    <x v="2"/>
    <x v="1"/>
    <x v="5"/>
    <n v="0"/>
    <n v="2"/>
    <d v="1899-12-30T00:12:55"/>
    <x v="3"/>
    <x v="9"/>
    <x v="2"/>
    <x v="3"/>
    <x v="4"/>
  </r>
  <r>
    <x v="1"/>
    <n v="24"/>
    <x v="4"/>
    <x v="3"/>
    <x v="2"/>
    <x v="5"/>
    <n v="0"/>
    <n v="2"/>
    <d v="1899-12-30T00:12:55"/>
    <x v="3"/>
    <x v="9"/>
    <x v="0"/>
    <x v="1"/>
    <x v="1"/>
  </r>
  <r>
    <x v="1"/>
    <n v="9"/>
    <x v="10"/>
    <x v="0"/>
    <x v="1"/>
    <x v="5"/>
    <n v="0"/>
    <n v="1"/>
    <d v="1899-12-30T00:12:55"/>
    <x v="3"/>
    <x v="9"/>
    <x v="4"/>
    <x v="1"/>
    <x v="6"/>
  </r>
  <r>
    <x v="1"/>
    <n v="11"/>
    <x v="6"/>
    <x v="2"/>
    <x v="1"/>
    <x v="5"/>
    <n v="0"/>
    <n v="2"/>
    <d v="1899-12-30T00:12:55"/>
    <x v="3"/>
    <x v="9"/>
    <x v="6"/>
    <x v="1"/>
    <x v="6"/>
  </r>
  <r>
    <x v="1"/>
    <n v="12"/>
    <x v="7"/>
    <x v="0"/>
    <x v="1"/>
    <x v="5"/>
    <n v="0"/>
    <n v="2"/>
    <d v="1899-12-30T00:12:55"/>
    <x v="3"/>
    <x v="9"/>
    <x v="6"/>
    <x v="2"/>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36450A-39CF-4DAF-A94F-25F9E550045F}" name="PivotTable1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CC4:CD8"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sortType="descending">
      <items count="5">
        <item x="3"/>
        <item x="0"/>
        <item x="1"/>
        <item x="2"/>
        <item t="default"/>
      </items>
      <autoSortScope>
        <pivotArea dataOnly="0" outline="0" fieldPosition="0">
          <references count="1">
            <reference field="4294967294" count="1" selected="0">
              <x v="0"/>
            </reference>
          </references>
        </pivotArea>
      </autoSortScope>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v="2"/>
    </i>
    <i>
      <x/>
    </i>
    <i>
      <x v="1"/>
    </i>
    <i>
      <x v="3"/>
    </i>
  </rowItems>
  <colItems count="1">
    <i/>
  </colItems>
  <pageFields count="1">
    <pageField fld="0" hier="-1"/>
  </pageFields>
  <dataFields count="1">
    <dataField name="Sum of Paid Fees" fld="6" baseField="12" baseItem="0" numFmtId="167"/>
  </dataFields>
  <formats count="4">
    <format dxfId="318">
      <pivotArea type="all" dataOnly="0" outline="0" fieldPosition="0"/>
    </format>
    <format dxfId="317">
      <pivotArea outline="0" collapsedLevelsAreSubtotals="1" fieldPosition="0"/>
    </format>
    <format dxfId="316">
      <pivotArea dataOnly="0" labelOnly="1" outline="0" axis="axisValues" fieldPosition="0"/>
    </format>
    <format dxfId="315">
      <pivotArea outline="0" fieldPosition="0">
        <references count="1">
          <reference field="4294967294" count="1">
            <x v="0"/>
          </reference>
        </references>
      </pivotArea>
    </format>
  </formats>
  <chartFormats count="20">
    <chartFormat chart="32" format="0" series="1">
      <pivotArea type="data" outline="0" fieldPosition="0">
        <references count="1">
          <reference field="4294967294" count="1" selected="0">
            <x v="0"/>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574005-762D-4BBE-9B82-AB01DDFC8651}" name="adv_chanel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K4:DL8"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h="1" x="0"/>
        <item h="1" x="1"/>
        <item h="1" x="2"/>
        <item t="default"/>
      </items>
    </pivotField>
    <pivotField showAll="0">
      <items count="17">
        <item x="3"/>
        <item x="12"/>
        <item x="7"/>
        <item x="9"/>
        <item x="15"/>
        <item x="13"/>
        <item x="11"/>
        <item x="10"/>
        <item x="0"/>
        <item x="14"/>
        <item x="4"/>
        <item x="1"/>
        <item x="6"/>
        <item x="8"/>
        <item x="2"/>
        <item x="5"/>
        <item t="default"/>
      </items>
    </pivotField>
  </pivotFields>
  <rowFields count="2">
    <field x="12"/>
    <field x="9"/>
  </rowFields>
  <rowItems count="4">
    <i>
      <x/>
    </i>
    <i r="1">
      <x/>
    </i>
    <i r="1">
      <x v="1"/>
    </i>
    <i r="1">
      <x v="3"/>
    </i>
  </rowItems>
  <colItems count="1">
    <i/>
  </colItems>
  <pageFields count="1">
    <pageField fld="0" hier="-1"/>
  </pageFields>
  <dataFields count="1">
    <dataField name="Sum of Paid Fees" fld="6" baseField="12" baseItem="0" numFmtId="167"/>
  </dataFields>
  <formats count="4">
    <format dxfId="322">
      <pivotArea type="all" dataOnly="0" outline="0" fieldPosition="0"/>
    </format>
    <format dxfId="321">
      <pivotArea outline="0" collapsedLevelsAreSubtotals="1" fieldPosition="0"/>
    </format>
    <format dxfId="320">
      <pivotArea dataOnly="0" labelOnly="1" outline="0" axis="axisValues" fieldPosition="0"/>
    </format>
    <format dxfId="319">
      <pivotArea outline="0" fieldPosition="0">
        <references count="1">
          <reference field="4294967294" count="1">
            <x v="0"/>
          </reference>
        </references>
      </pivotArea>
    </format>
  </formats>
  <chartFormats count="7">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BC8A9F-FE5D-49C9-88F3-10E363F5F45D}"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L4:M17" firstHeaderRow="1" firstDataRow="1" firstDataCol="1"/>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axis="axisRow"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13"/>
  </rowFields>
  <rowItems count="13">
    <i>
      <x v="5"/>
    </i>
    <i>
      <x v="14"/>
    </i>
    <i>
      <x v="12"/>
    </i>
    <i>
      <x v="13"/>
    </i>
    <i>
      <x v="11"/>
    </i>
    <i>
      <x v="15"/>
    </i>
    <i>
      <x v="2"/>
    </i>
    <i>
      <x v="10"/>
    </i>
    <i>
      <x v="9"/>
    </i>
    <i>
      <x/>
    </i>
    <i>
      <x v="7"/>
    </i>
    <i>
      <x v="6"/>
    </i>
    <i>
      <x v="4"/>
    </i>
  </rowItems>
  <colItems count="1">
    <i/>
  </colItems>
  <dataFields count="1">
    <dataField name="Sum of Paid Fees" fld="6" baseField="13" baseItem="12" numFmtId="3"/>
  </dataFields>
  <formats count="4">
    <format dxfId="326">
      <pivotArea type="all" dataOnly="0" outline="0" fieldPosition="0"/>
    </format>
    <format dxfId="325">
      <pivotArea outline="0" collapsedLevelsAreSubtotals="1" fieldPosition="0"/>
    </format>
    <format dxfId="324">
      <pivotArea dataOnly="0" labelOnly="1" outline="0" axis="axisValues" fieldPosition="0"/>
    </format>
    <format dxfId="3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A41479-17B1-48F4-BF42-1D4AF8924E4A}" name="total_earning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7">
  <location ref="S4:U16" firstHeaderRow="0"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name="Sum of Paid Fees" fld="6" baseField="2" baseItem="0" numFmtId="167"/>
    <dataField name="Sum of Paid Fees2" fld="6" baseField="0" baseItem="0"/>
  </dataFields>
  <formats count="4">
    <format dxfId="330">
      <pivotArea type="all" dataOnly="0" outline="0" fieldPosition="0"/>
    </format>
    <format dxfId="329">
      <pivotArea outline="0" collapsedLevelsAreSubtotals="1" fieldPosition="0"/>
    </format>
    <format dxfId="328">
      <pivotArea dataOnly="0" labelOnly="1" outline="0" axis="axisValues" fieldPosition="0"/>
    </format>
    <format dxfId="327">
      <pivotArea outline="0" fieldPosition="0">
        <references count="1">
          <reference field="4294967294" count="1">
            <x v="0"/>
          </reference>
        </references>
      </pivotArea>
    </format>
  </formats>
  <chartFormats count="2">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8AA460-15E6-4379-8C3B-8E4FF0EF5644}" name="PivotTable8"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L4:AL5" firstHeaderRow="1" firstDataRow="1" firstDataCol="0"/>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Average of Enrolled Courses" fld="5" subtotal="average" baseField="0" baseItem="0" numFmtId="2"/>
  </dataFields>
  <formats count="4">
    <format dxfId="334">
      <pivotArea type="all" dataOnly="0" outline="0" fieldPosition="0"/>
    </format>
    <format dxfId="333">
      <pivotArea outline="0" collapsedLevelsAreSubtotals="1" fieldPosition="0"/>
    </format>
    <format dxfId="332">
      <pivotArea dataOnly="0" labelOnly="1" outline="0" axis="axisValues" fieldPosition="0"/>
    </format>
    <format dxfId="3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C434738-D434-4050-AA9F-5FE6809067E7}"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B5" firstHeaderRow="1" firstDataRow="1" firstDataCol="0"/>
  <pivotFields count="14">
    <pivotField showAll="0"/>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pivotFields>
  <rowItems count="1">
    <i/>
  </rowItems>
  <colItems count="1">
    <i/>
  </colItems>
  <dataFields count="1">
    <dataField name="Sum of Paid Fees" fld="6" baseField="0" baseItem="0" numFmtId="3"/>
  </dataFields>
  <formats count="3">
    <format dxfId="337">
      <pivotArea type="all" dataOnly="0" outline="0" fieldPosition="0"/>
    </format>
    <format dxfId="336">
      <pivotArea outline="0" collapsedLevelsAreSubtotals="1" fieldPosition="0"/>
    </format>
    <format dxfId="33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726FC1-C0E3-4441-BD51-A832C672F522}" name="Adv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C4:DH17" firstHeaderRow="1" firstDataRow="2" firstDataCol="1"/>
  <pivotFields count="14">
    <pivotField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items count="7">
        <item x="1"/>
        <item x="2"/>
        <item x="4"/>
        <item x="0"/>
        <item x="3"/>
        <item x="5"/>
        <item t="default"/>
      </items>
    </pivotField>
    <pivotField axis="axisCol" showAll="0">
      <items count="6">
        <item x="1"/>
        <item x="2"/>
        <item x="3"/>
        <item x="0"/>
        <item x="4"/>
        <item t="default"/>
      </items>
    </pivotField>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Fields count="1">
    <field x="4"/>
  </colFields>
  <colItems count="5">
    <i>
      <x/>
    </i>
    <i>
      <x v="1"/>
    </i>
    <i>
      <x v="2"/>
    </i>
    <i>
      <x v="3"/>
    </i>
    <i>
      <x v="4"/>
    </i>
  </colItems>
  <dataFields count="1">
    <dataField name="Sum of Paid Fees" fld="6" baseField="12" baseItem="0" numFmtId="167"/>
  </dataFields>
  <formats count="4">
    <format dxfId="341">
      <pivotArea type="all" dataOnly="0" outline="0" fieldPosition="0"/>
    </format>
    <format dxfId="340">
      <pivotArea outline="0" collapsedLevelsAreSubtotals="1" fieldPosition="0"/>
    </format>
    <format dxfId="339">
      <pivotArea dataOnly="0" labelOnly="1" outline="0" axis="axisValues" fieldPosition="0"/>
    </format>
    <format dxfId="338">
      <pivotArea outline="0" fieldPosition="0">
        <references count="1">
          <reference field="4294967294" count="1">
            <x v="0"/>
          </reference>
        </references>
      </pivotArea>
    </format>
  </formats>
  <chartFormats count="11">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10" series="1">
      <pivotArea type="data" outline="0" fieldPosition="0">
        <references count="2">
          <reference field="4294967294" count="1" selected="0">
            <x v="0"/>
          </reference>
          <reference field="4" count="1" selected="0">
            <x v="0"/>
          </reference>
        </references>
      </pivotArea>
    </chartFormat>
    <chartFormat chart="47" format="11" series="1">
      <pivotArea type="data" outline="0" fieldPosition="0">
        <references count="2">
          <reference field="4294967294" count="1" selected="0">
            <x v="0"/>
          </reference>
          <reference field="4" count="1" selected="0">
            <x v="1"/>
          </reference>
        </references>
      </pivotArea>
    </chartFormat>
    <chartFormat chart="47" format="12" series="1">
      <pivotArea type="data" outline="0" fieldPosition="0">
        <references count="2">
          <reference field="4294967294" count="1" selected="0">
            <x v="0"/>
          </reference>
          <reference field="4" count="1" selected="0">
            <x v="2"/>
          </reference>
        </references>
      </pivotArea>
    </chartFormat>
    <chartFormat chart="47" format="13" series="1">
      <pivotArea type="data" outline="0" fieldPosition="0">
        <references count="2">
          <reference field="4294967294" count="1" selected="0">
            <x v="0"/>
          </reference>
          <reference field="4" count="1" selected="0">
            <x v="3"/>
          </reference>
        </references>
      </pivotArea>
    </chartFormat>
    <chartFormat chart="47" format="1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59BFE56-E659-4812-99F5-4944D3D31A28}"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AA4:AB7" firstHeaderRow="1" firstDataRow="1" firstDataCol="1"/>
  <pivotFields count="14">
    <pivotField axis="axisRow" dataField="1" showAll="0">
      <items count="3">
        <item x="0"/>
        <item x="1"/>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0"/>
  </rowFields>
  <rowItems count="3">
    <i>
      <x/>
    </i>
    <i>
      <x v="1"/>
    </i>
    <i t="grand">
      <x/>
    </i>
  </rowItems>
  <colItems count="1">
    <i/>
  </colItems>
  <dataFields count="1">
    <dataField name="Count of Fees Status" fld="0" subtotal="count" baseField="0" baseItem="0"/>
  </dataFields>
  <formats count="3">
    <format dxfId="344">
      <pivotArea type="all" dataOnly="0" outline="0" fieldPosition="0"/>
    </format>
    <format dxfId="343">
      <pivotArea outline="0" collapsedLevelsAreSubtotals="1" fieldPosition="0"/>
    </format>
    <format dxfId="342">
      <pivotArea dataOnly="0" labelOnly="1" outline="0" axis="axisValues" fieldPosition="0"/>
    </format>
  </formats>
  <chartFormats count="6">
    <chartFormat chart="19" format="15" series="1">
      <pivotArea type="data" outline="0" fieldPosition="0">
        <references count="1">
          <reference field="4294967294" count="1" selected="0">
            <x v="0"/>
          </reference>
        </references>
      </pivotArea>
    </chartFormat>
    <chartFormat chart="19" format="16">
      <pivotArea type="data" outline="0" fieldPosition="0">
        <references count="2">
          <reference field="4294967294" count="1" selected="0">
            <x v="0"/>
          </reference>
          <reference field="0" count="1" selected="0">
            <x v="0"/>
          </reference>
        </references>
      </pivotArea>
    </chartFormat>
    <chartFormat chart="19" format="17">
      <pivotArea type="data" outline="0" fieldPosition="0">
        <references count="2">
          <reference field="4294967294" count="1" selected="0">
            <x v="0"/>
          </reference>
          <reference field="0"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pivotArea type="data" outline="0" fieldPosition="0">
        <references count="2">
          <reference field="4294967294" count="1" selected="0">
            <x v="0"/>
          </reference>
          <reference field="0" count="1" selected="0">
            <x v="0"/>
          </reference>
        </references>
      </pivotArea>
    </chartFormat>
    <chartFormat chart="20" format="8">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ABC377E-B11B-46E3-A97E-4AD07928BA4F}" name="PivotTable1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BF4:BG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sortType="descending">
      <items count="11">
        <item x="4"/>
        <item x="3"/>
        <item x="2"/>
        <item x="6"/>
        <item x="0"/>
        <item x="5"/>
        <item x="7"/>
        <item x="8"/>
        <item x="1"/>
        <item x="9"/>
        <item t="default"/>
      </items>
      <autoSortScope>
        <pivotArea dataOnly="0" outline="0" fieldPosition="0">
          <references count="1">
            <reference field="4294967294" count="1" selected="0">
              <x v="0"/>
            </reference>
          </references>
        </pivotArea>
      </autoSortScope>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v="2"/>
    </i>
    <i>
      <x v="5"/>
    </i>
    <i>
      <x v="1"/>
    </i>
    <i>
      <x v="8"/>
    </i>
    <i>
      <x v="6"/>
    </i>
    <i>
      <x v="4"/>
    </i>
    <i>
      <x/>
    </i>
    <i>
      <x v="7"/>
    </i>
    <i>
      <x v="3"/>
    </i>
  </rowItems>
  <colItems count="1">
    <i/>
  </colItems>
  <pageFields count="1">
    <pageField fld="0" hier="-1"/>
  </pageFields>
  <dataFields count="1">
    <dataField name="Sum of Paid Fees" fld="6" baseField="9" baseItem="0" numFmtId="167"/>
  </dataFields>
  <formats count="4">
    <format dxfId="348">
      <pivotArea type="all" dataOnly="0" outline="0" fieldPosition="0"/>
    </format>
    <format dxfId="347">
      <pivotArea outline="0" collapsedLevelsAreSubtotals="1" fieldPosition="0"/>
    </format>
    <format dxfId="346">
      <pivotArea dataOnly="0" labelOnly="1" outline="0" axis="axisValues" fieldPosition="0"/>
    </format>
    <format dxfId="345">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4ACA986-B08A-4271-816C-00B1B2672477}" name="PivotTable2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4">
  <location ref="DP4:DS16" firstHeaderRow="1" firstDataRow="2"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Col"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h="1" x="0"/>
        <item h="1" x="1"/>
        <item h="1"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11">
    <i>
      <x/>
    </i>
    <i>
      <x v="2"/>
    </i>
    <i>
      <x v="5"/>
    </i>
    <i>
      <x v="7"/>
    </i>
    <i>
      <x v="9"/>
    </i>
    <i>
      <x v="10"/>
    </i>
    <i>
      <x v="11"/>
    </i>
    <i>
      <x v="12"/>
    </i>
    <i>
      <x v="13"/>
    </i>
    <i>
      <x v="14"/>
    </i>
    <i>
      <x v="15"/>
    </i>
  </rowItems>
  <colFields count="1">
    <field x="9"/>
  </colFields>
  <colItems count="3">
    <i>
      <x/>
    </i>
    <i>
      <x v="1"/>
    </i>
    <i>
      <x v="3"/>
    </i>
  </colItems>
  <pageFields count="1">
    <pageField fld="0" hier="-1"/>
  </pageFields>
  <dataFields count="1">
    <dataField name="Sum of Paid Fees" fld="6" baseField="12" baseItem="0" numFmtId="167"/>
  </dataFields>
  <formats count="4">
    <format dxfId="352">
      <pivotArea type="all" dataOnly="0" outline="0" fieldPosition="0"/>
    </format>
    <format dxfId="351">
      <pivotArea outline="0" collapsedLevelsAreSubtotals="1" fieldPosition="0"/>
    </format>
    <format dxfId="350">
      <pivotArea dataOnly="0" labelOnly="1" outline="0" axis="axisValues" fieldPosition="0"/>
    </format>
    <format dxfId="349">
      <pivotArea outline="0" fieldPosition="0">
        <references count="1">
          <reference field="4294967294" count="1">
            <x v="0"/>
          </reference>
        </references>
      </pivotArea>
    </format>
  </formats>
  <chartFormats count="1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 chart="49" format="0" series="1">
      <pivotArea type="data" outline="0" fieldPosition="0">
        <references count="2">
          <reference field="4294967294" count="1" selected="0">
            <x v="0"/>
          </reference>
          <reference field="9" count="1" selected="0">
            <x v="0"/>
          </reference>
        </references>
      </pivotArea>
    </chartFormat>
    <chartFormat chart="49" format="1" series="1">
      <pivotArea type="data" outline="0" fieldPosition="0">
        <references count="2">
          <reference field="4294967294" count="1" selected="0">
            <x v="0"/>
          </reference>
          <reference field="9" count="1" selected="0">
            <x v="1"/>
          </reference>
        </references>
      </pivotArea>
    </chartFormat>
    <chartFormat chart="49" format="2" series="1">
      <pivotArea type="data" outline="0" fieldPosition="0">
        <references count="2">
          <reference field="4294967294" count="1" selected="0">
            <x v="0"/>
          </reference>
          <reference field="9" count="1" selected="0">
            <x v="2"/>
          </reference>
        </references>
      </pivotArea>
    </chartFormat>
    <chartFormat chart="49" format="3" series="1">
      <pivotArea type="data" outline="0" fieldPosition="0">
        <references count="2">
          <reference field="4294967294" count="1" selected="0">
            <x v="0"/>
          </reference>
          <reference field="9" count="1" selected="0">
            <x v="3"/>
          </reference>
        </references>
      </pivotArea>
    </chartFormat>
    <chartFormat chart="52" format="8" series="1">
      <pivotArea type="data" outline="0" fieldPosition="0">
        <references count="2">
          <reference field="4294967294" count="1" selected="0">
            <x v="0"/>
          </reference>
          <reference field="9" count="1" selected="0">
            <x v="0"/>
          </reference>
        </references>
      </pivotArea>
    </chartFormat>
    <chartFormat chart="52" format="9" series="1">
      <pivotArea type="data" outline="0" fieldPosition="0">
        <references count="2">
          <reference field="4294967294" count="1" selected="0">
            <x v="0"/>
          </reference>
          <reference field="9" count="1" selected="0">
            <x v="1"/>
          </reference>
        </references>
      </pivotArea>
    </chartFormat>
    <chartFormat chart="52" format="10" series="1">
      <pivotArea type="data" outline="0" fieldPosition="0">
        <references count="2">
          <reference field="4294967294" count="1" selected="0">
            <x v="0"/>
          </reference>
          <reference field="9" count="1" selected="0">
            <x v="2"/>
          </reference>
        </references>
      </pivotArea>
    </chartFormat>
    <chartFormat chart="52" format="11"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5BD3D68-3FD1-4785-AAF6-5972C80BE93E}" name="call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0">
  <location ref="BM4:BN16" firstHeaderRow="1" firstDataRow="1" firstDataCol="1" rowPageCount="1" colPageCount="1"/>
  <pivotFields count="14">
    <pivotField axis="axisPage"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numFmtId="165" showAll="0"/>
    <pivotField showAll="0"/>
    <pivotField dataField="1"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pageFields count="1">
    <pageField fld="0" hier="-1"/>
  </pageFields>
  <dataFields count="1">
    <dataField name="Average of Average call duration" fld="8" subtotal="average" baseField="2" baseItem="0" numFmtId="45"/>
  </dataFields>
  <formats count="4">
    <format dxfId="356">
      <pivotArea type="all" dataOnly="0" outline="0" fieldPosition="0"/>
    </format>
    <format dxfId="355">
      <pivotArea outline="0" collapsedLevelsAreSubtotals="1" fieldPosition="0"/>
    </format>
    <format dxfId="354">
      <pivotArea dataOnly="0" labelOnly="1" outline="0" axis="axisValues" fieldPosition="0"/>
    </format>
    <format dxfId="3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FF7A9CD-0E7D-4DF1-BAB3-54DFCA17AEA8}" name="avg_pai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Y4:CA8" firstHeaderRow="0"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i>
    <i>
      <x v="1"/>
    </i>
    <i>
      <x v="2"/>
    </i>
    <i>
      <x v="3"/>
    </i>
  </rowItems>
  <colFields count="1">
    <field x="-2"/>
  </colFields>
  <colItems count="2">
    <i>
      <x/>
    </i>
    <i i="1">
      <x v="1"/>
    </i>
  </colItems>
  <pageFields count="1">
    <pageField fld="0" hier="-1"/>
  </pageFields>
  <dataFields count="2">
    <dataField name="Sum of Paid Fees" fld="6" baseField="12" baseItem="0" numFmtId="167"/>
    <dataField name="Sum of Paid Fees2" fld="6" baseField="0" baseItem="0"/>
  </dataFields>
  <formats count="4">
    <format dxfId="360">
      <pivotArea type="all" dataOnly="0" outline="0" fieldPosition="0"/>
    </format>
    <format dxfId="359">
      <pivotArea outline="0" collapsedLevelsAreSubtotals="1" fieldPosition="0"/>
    </format>
    <format dxfId="358">
      <pivotArea dataOnly="0" labelOnly="1" outline="0" axis="axisValues" fieldPosition="0"/>
    </format>
    <format dxfId="357">
      <pivotArea outline="0" fieldPosition="0">
        <references count="1">
          <reference field="4294967294" count="1">
            <x v="0"/>
          </reference>
        </references>
      </pivotArea>
    </format>
  </formats>
  <chartFormats count="24">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3" format="11" series="1">
      <pivotArea type="data" outline="0" fieldPosition="0">
        <references count="1">
          <reference field="4294967294" count="1" selected="0">
            <x v="1"/>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4" format="17" series="1">
      <pivotArea type="data" outline="0" fieldPosition="0">
        <references count="1">
          <reference field="4294967294" count="1" selected="0">
            <x v="1"/>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 chart="35" format="1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D299F2B-161A-4885-961A-E2979F637034}" name="PivotTable1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N4:CO9"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axis="axisRow" showAll="0">
      <items count="7">
        <item x="1"/>
        <item x="2"/>
        <item x="4"/>
        <item x="0"/>
        <item x="3"/>
        <item x="5"/>
        <item t="default"/>
      </items>
    </pivotField>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3"/>
  </rowFields>
  <rowItems count="5">
    <i>
      <x/>
    </i>
    <i>
      <x v="1"/>
    </i>
    <i>
      <x v="2"/>
    </i>
    <i>
      <x v="3"/>
    </i>
    <i>
      <x v="4"/>
    </i>
  </rowItems>
  <colItems count="1">
    <i/>
  </colItems>
  <pageFields count="1">
    <pageField fld="0" hier="-1"/>
  </pageFields>
  <dataFields count="1">
    <dataField name="Sum of Paid Fees" fld="6" baseField="12" baseItem="0" numFmtId="167"/>
  </dataFields>
  <formats count="4">
    <format dxfId="364">
      <pivotArea type="all" dataOnly="0" outline="0" fieldPosition="0"/>
    </format>
    <format dxfId="363">
      <pivotArea outline="0" collapsedLevelsAreSubtotals="1" fieldPosition="0"/>
    </format>
    <format dxfId="362">
      <pivotArea dataOnly="0" labelOnly="1" outline="0" axis="axisValues" fieldPosition="0"/>
    </format>
    <format dxfId="361">
      <pivotArea outline="0" fieldPosition="0">
        <references count="1">
          <reference field="4294967294" count="1">
            <x v="0"/>
          </reference>
        </references>
      </pivotArea>
    </format>
  </formats>
  <chartFormats count="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2302759-3112-48B8-BDB1-0A9D5254E96D}"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7">
  <location ref="AQ4:AR12" firstHeaderRow="1" firstDataRow="1" firstDataCol="1"/>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axis="axisRow" dataField="1"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11"/>
  </rowFields>
  <rowItems count="8">
    <i>
      <x/>
    </i>
    <i>
      <x v="1"/>
    </i>
    <i>
      <x v="2"/>
    </i>
    <i>
      <x v="3"/>
    </i>
    <i>
      <x v="4"/>
    </i>
    <i>
      <x v="5"/>
    </i>
    <i>
      <x v="6"/>
    </i>
    <i>
      <x v="7"/>
    </i>
  </rowItems>
  <colItems count="1">
    <i/>
  </colItems>
  <dataFields count="1">
    <dataField name="Count of Area Code" fld="11" subtotal="count" baseField="0" baseItem="0"/>
  </dataFields>
  <formats count="3">
    <format dxfId="367">
      <pivotArea type="all" dataOnly="0" outline="0" fieldPosition="0"/>
    </format>
    <format dxfId="366">
      <pivotArea outline="0" collapsedLevelsAreSubtotals="1" fieldPosition="0"/>
    </format>
    <format dxfId="365">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2EE0761-0CC1-482C-BA17-69BFD418183E}"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AU4:AV7"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pivotField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9"/>
  </rowFields>
  <rowItems count="3">
    <i>
      <x/>
    </i>
    <i>
      <x v="1"/>
    </i>
    <i>
      <x v="3"/>
    </i>
  </rowItems>
  <colItems count="1">
    <i/>
  </colItems>
  <pageFields count="1">
    <pageField fld="0" hier="-1"/>
  </pageFields>
  <dataFields count="1">
    <dataField name="Sum of Paid Fees" fld="6" baseField="9" baseItem="0" numFmtId="167"/>
  </dataFields>
  <formats count="4">
    <format dxfId="371">
      <pivotArea type="all" dataOnly="0" outline="0" fieldPosition="0"/>
    </format>
    <format dxfId="370">
      <pivotArea outline="0" collapsedLevelsAreSubtotals="1" fieldPosition="0"/>
    </format>
    <format dxfId="369">
      <pivotArea dataOnly="0" labelOnly="1" outline="0" axis="axisValues" fieldPosition="0"/>
    </format>
    <format dxfId="368">
      <pivotArea outline="0" fieldPosition="0">
        <references count="1">
          <reference field="4294967294" count="1">
            <x v="0"/>
          </reference>
        </references>
      </pivotArea>
    </format>
  </formats>
  <chartFormats count="10">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9" count="1" selected="0">
            <x v="0"/>
          </reference>
        </references>
      </pivotArea>
    </chartFormat>
    <chartFormat chart="18" format="2">
      <pivotArea type="data" outline="0" fieldPosition="0">
        <references count="2">
          <reference field="4294967294" count="1" selected="0">
            <x v="0"/>
          </reference>
          <reference field="9" count="1" selected="0">
            <x v="3"/>
          </reference>
        </references>
      </pivotArea>
    </chartFormat>
    <chartFormat chart="18" format="3">
      <pivotArea type="data" outline="0" fieldPosition="0">
        <references count="2">
          <reference field="4294967294" count="1" selected="0">
            <x v="0"/>
          </reference>
          <reference field="9" count="1" selected="0">
            <x v="1"/>
          </reference>
        </references>
      </pivotArea>
    </chartFormat>
    <chartFormat chart="18" format="4">
      <pivotArea type="data" outline="0" fieldPosition="0">
        <references count="2">
          <reference field="4294967294" count="1" selected="0">
            <x v="0"/>
          </reference>
          <reference field="9" count="1" selected="0">
            <x v="2"/>
          </reference>
        </references>
      </pivotArea>
    </chartFormat>
    <chartFormat chart="21" format="10" series="1">
      <pivotArea type="data" outline="0" fieldPosition="0">
        <references count="1">
          <reference field="4294967294" count="1" selected="0">
            <x v="0"/>
          </reference>
        </references>
      </pivotArea>
    </chartFormat>
    <chartFormat chart="21" format="11">
      <pivotArea type="data" outline="0" fieldPosition="0">
        <references count="2">
          <reference field="4294967294" count="1" selected="0">
            <x v="0"/>
          </reference>
          <reference field="9" count="1" selected="0">
            <x v="0"/>
          </reference>
        </references>
      </pivotArea>
    </chartFormat>
    <chartFormat chart="21" format="12">
      <pivotArea type="data" outline="0" fieldPosition="0">
        <references count="2">
          <reference field="4294967294" count="1" selected="0">
            <x v="0"/>
          </reference>
          <reference field="9" count="1" selected="0">
            <x v="1"/>
          </reference>
        </references>
      </pivotArea>
    </chartFormat>
    <chartFormat chart="21" format="13">
      <pivotArea type="data" outline="0" fieldPosition="0">
        <references count="2">
          <reference field="4294967294" count="1" selected="0">
            <x v="0"/>
          </reference>
          <reference field="9" count="1" selected="0">
            <x v="2"/>
          </reference>
        </references>
      </pivotArea>
    </chartFormat>
    <chartFormat chart="21" format="1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995F0DF-0C8C-40E0-9D41-840B958508E9}"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AY4:AZ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i>
    <i>
      <x v="1"/>
    </i>
    <i>
      <x v="2"/>
    </i>
    <i>
      <x v="3"/>
    </i>
    <i>
      <x v="4"/>
    </i>
    <i>
      <x v="5"/>
    </i>
    <i>
      <x v="6"/>
    </i>
    <i>
      <x v="7"/>
    </i>
    <i>
      <x v="8"/>
    </i>
  </rowItems>
  <colItems count="1">
    <i/>
  </colItems>
  <pageFields count="1">
    <pageField fld="0" hier="-1"/>
  </pageFields>
  <dataFields count="1">
    <dataField name="Sum of Paid Fees" fld="6" baseField="9" baseItem="0" numFmtId="167"/>
  </dataFields>
  <formats count="4">
    <format dxfId="375">
      <pivotArea type="all" dataOnly="0" outline="0" fieldPosition="0"/>
    </format>
    <format dxfId="374">
      <pivotArea outline="0" collapsedLevelsAreSubtotals="1" fieldPosition="0"/>
    </format>
    <format dxfId="373">
      <pivotArea dataOnly="0" labelOnly="1" outline="0" axis="axisValues" fieldPosition="0"/>
    </format>
    <format dxfId="372">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006629A-ED7E-40CB-B4E9-DA7F1ECC1A1D}" name="PivotTable1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J4:CK15"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11">
    <i>
      <x/>
    </i>
    <i>
      <x v="2"/>
    </i>
    <i>
      <x v="5"/>
    </i>
    <i>
      <x v="7"/>
    </i>
    <i>
      <x v="9"/>
    </i>
    <i>
      <x v="10"/>
    </i>
    <i>
      <x v="11"/>
    </i>
    <i>
      <x v="12"/>
    </i>
    <i>
      <x v="13"/>
    </i>
    <i>
      <x v="14"/>
    </i>
    <i>
      <x v="15"/>
    </i>
  </rowItems>
  <colItems count="1">
    <i/>
  </colItems>
  <pageFields count="1">
    <pageField fld="0" hier="-1"/>
  </pageFields>
  <dataFields count="1">
    <dataField name="Sum of Paid Fees" fld="6" baseField="12" baseItem="0" numFmtId="167"/>
  </dataFields>
  <formats count="4">
    <format dxfId="379">
      <pivotArea type="all" dataOnly="0" outline="0" fieldPosition="0"/>
    </format>
    <format dxfId="378">
      <pivotArea outline="0" collapsedLevelsAreSubtotals="1" fieldPosition="0"/>
    </format>
    <format dxfId="377">
      <pivotArea dataOnly="0" labelOnly="1" outline="0" axis="axisValues" fieldPosition="0"/>
    </format>
    <format dxfId="376">
      <pivotArea outline="0" fieldPosition="0">
        <references count="1">
          <reference field="4294967294" count="1">
            <x v="0"/>
          </reference>
        </references>
      </pivotArea>
    </format>
  </formats>
  <chartFormats count="5">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7DF7879-C504-452F-89A1-289DC3CC7B50}" name="PivotTable9"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N4:AN5" firstHeaderRow="1" firstDataRow="1" firstDataCol="0"/>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Sum of Enrolled Courses" fld="5" baseField="0" baseItem="0" numFmtId="166"/>
  </dataFields>
  <formats count="4">
    <format dxfId="383">
      <pivotArea type="all" dataOnly="0" outline="0" fieldPosition="0"/>
    </format>
    <format dxfId="382">
      <pivotArea outline="0" collapsedLevelsAreSubtotals="1" fieldPosition="0"/>
    </format>
    <format dxfId="381">
      <pivotArea dataOnly="0" labelOnly="1" outline="0" axis="axisValues" fieldPosition="0"/>
    </format>
    <format dxfId="38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6D05A20-ADCA-4205-A123-32642999B949}"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B4:BC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i>
    <i>
      <x v="1"/>
    </i>
    <i>
      <x v="2"/>
    </i>
    <i>
      <x v="3"/>
    </i>
    <i>
      <x v="4"/>
    </i>
    <i>
      <x v="5"/>
    </i>
    <i>
      <x v="6"/>
    </i>
    <i>
      <x v="7"/>
    </i>
    <i>
      <x v="8"/>
    </i>
  </rowItems>
  <colItems count="1">
    <i/>
  </colItems>
  <pageFields count="1">
    <pageField fld="0" hier="-1"/>
  </pageFields>
  <dataFields count="1">
    <dataField name="Sum of Enrolled Courses" fld="5" baseField="0" baseItem="0"/>
  </dataFields>
  <formats count="3">
    <format dxfId="386">
      <pivotArea type="all" dataOnly="0" outline="0" fieldPosition="0"/>
    </format>
    <format dxfId="385">
      <pivotArea outline="0" collapsedLevelsAreSubtotals="1" fieldPosition="0"/>
    </format>
    <format dxfId="384">
      <pivotArea dataOnly="0" labelOnly="1" outline="0" axis="axisValues" fieldPosition="0"/>
    </format>
  </formats>
  <chartFormats count="1">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9FBD441-AE2E-4B2F-BB07-1F1EC111DA70}"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4:F6" firstHeaderRow="1" firstDataRow="1" firstDataCol="1"/>
  <pivotFields count="14">
    <pivotField axis="axisRow" dataField="1"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pivotFields>
  <rowFields count="1">
    <field x="0"/>
  </rowFields>
  <rowItems count="2">
    <i>
      <x/>
    </i>
    <i>
      <x v="1"/>
    </i>
  </rowItems>
  <colItems count="1">
    <i/>
  </colItems>
  <dataFields count="1">
    <dataField name="Count of Fees Status" fld="0" subtotal="count" baseField="0" baseItem="0"/>
  </dataFields>
  <formats count="3">
    <format dxfId="389">
      <pivotArea type="all" dataOnly="0" outline="0" fieldPosition="0"/>
    </format>
    <format dxfId="388">
      <pivotArea outline="0" collapsedLevelsAreSubtotals="1" fieldPosition="0"/>
    </format>
    <format dxfId="38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9DC24FE-52D8-4D99-8E11-49FB05408C35}" name="monthly_earnings_enrolle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2">
  <location ref="AI4:AJ16" firstHeaderRow="1"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dataFields count="1">
    <dataField name="Sum of Enrolled Courses" fld="5" baseField="0" baseItem="0"/>
  </dataFields>
  <formats count="3">
    <format dxfId="392">
      <pivotArea type="all" dataOnly="0" outline="0" fieldPosition="0"/>
    </format>
    <format dxfId="391">
      <pivotArea outline="0" collapsedLevelsAreSubtotals="1" fieldPosition="0"/>
    </format>
    <format dxfId="390">
      <pivotArea dataOnly="0" labelOnly="1" outline="0" axis="axisValues"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1040578-DA23-4E7C-B5EC-244173FC71DB}" sourceName="Month">
  <pivotTables>
    <pivotTable tabId="4" name="PivotTable5"/>
    <pivotTable tabId="4" name="PivotTable1"/>
    <pivotTable tabId="4" name="PivotTable10"/>
    <pivotTable tabId="4" name="PivotTable11"/>
    <pivotTable tabId="4" name="PivotTable12"/>
    <pivotTable tabId="4" name="PivotTable13"/>
    <pivotTable tabId="4" name="avg_paid"/>
    <pivotTable tabId="4" name="PivotTable16"/>
    <pivotTable tabId="4" name="PivotTable17"/>
    <pivotTable tabId="4" name="PivotTable18"/>
    <pivotTable tabId="4" name="PivotTable2"/>
    <pivotTable tabId="4" name="adv_chanels"/>
    <pivotTable tabId="4" name="PivotTable21"/>
    <pivotTable tabId="4" name="PivotTable3"/>
    <pivotTable tabId="4" name="PivotTable6"/>
    <pivotTable tabId="4" name="PivotTable8"/>
    <pivotTable tabId="4" name="PivotTable9"/>
  </pivotTables>
  <data>
    <tabular pivotCacheId="1154355153">
      <items count="12">
        <i x="5" s="1"/>
        <i x="6"/>
        <i x="7"/>
        <i x="0"/>
        <i x="8"/>
        <i x="9"/>
        <i x="11"/>
        <i x="1"/>
        <i x="2"/>
        <i x="3"/>
        <i x="4"/>
        <i x="10"/>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eam" xr10:uid="{485DF1A3-3BF9-4187-A88E-396BA5007EA1}" sourceName="Sale Team">
  <pivotTables>
    <pivotTable tabId="4" name="adv_chanels"/>
  </pivotTables>
  <data>
    <tabular pivotCacheId="1154355153">
      <items count="4">
        <i x="3" s="1"/>
        <i x="0"/>
        <i x="1"/>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FA680D6-60AA-46D3-82D7-B10D8DC5F745}" cache="Slicer_Month" caption="Month" columnCount="3" showCaption="0" style="Slicer Style 1" lockedPosition="1" rowHeight="234950"/>
  <slicer name="Sale Team" xr10:uid="{898A2235-6BF9-4BB7-824B-B41DF4BFF19B}" cache="Slicer_Sale_Team" caption="Sale Team" showCaption="0" style="Slicer Style 1"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05782A-E2E8-4D5E-BE46-B7274227D69B}" name="Table1" displayName="Table1" ref="B2:O1239" totalsRowShown="0" headerRowDxfId="408" dataDxfId="407" headerRowCellStyle="Normal 2" dataCellStyle="Normal 2">
  <autoFilter ref="B2:O1239" xr:uid="{DC05782A-E2E8-4D5E-BE46-B7274227D6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AF05D3B2-2F92-40A4-887E-093572DE8D21}" name="Fees Status" dataDxfId="406" dataCellStyle="Normal 2"/>
    <tableColumn id="2" xr3:uid="{891B731C-D998-47EB-83D7-6D328F64CB8B}" name="Day" dataDxfId="405" dataCellStyle="Normal 2"/>
    <tableColumn id="3" xr3:uid="{931602BF-4513-4034-BADC-8F3BFE5A91BF}" name="Month" dataDxfId="404" dataCellStyle="Normal 2"/>
    <tableColumn id="4" xr3:uid="{293E98FA-09BA-4F89-8069-3915AF24D391}" name="Advertising Channel" dataDxfId="403" dataCellStyle="Normal 2"/>
    <tableColumn id="5" xr3:uid="{5D1A8882-4F61-420C-B08A-BD1E7B3EDA40}" name="Advertisement " dataDxfId="402" dataCellStyle="Normal 2"/>
    <tableColumn id="6" xr3:uid="{8ECD56F1-5597-421B-9DA7-C8A40B36771B}" name="Enrolled Courses" dataDxfId="401" dataCellStyle="Normal 2"/>
    <tableColumn id="7" xr3:uid="{444AD610-55EB-4021-A1B6-CA2D76D65211}" name="Paid Fees" dataDxfId="400" dataCellStyle="Currency 2"/>
    <tableColumn id="8" xr3:uid="{6DC39B35-9EB1-49F2-B1AF-25BBDFABD0D1}" name="Number of phone calls" dataDxfId="399" dataCellStyle="Normal 2"/>
    <tableColumn id="9" xr3:uid="{7328BDDE-A247-495F-ACE4-4170BAD2ACB5}" name="Average call duration" dataDxfId="398" dataCellStyle="Normal 3"/>
    <tableColumn id="10" xr3:uid="{B59F51C3-E78E-4AF6-A670-8BBF32B93A37}" name="Training Models" dataDxfId="397" dataCellStyle="Normal 2"/>
    <tableColumn id="11" xr3:uid="{1CFA6D89-FCAF-4D7F-8234-842AD72E11A9}" name="Training Levels" dataDxfId="396" dataCellStyle="Normal 2"/>
    <tableColumn id="12" xr3:uid="{E3AD2B80-CB62-4F0F-B1B0-24C3DB333E78}" name="Area Code" dataDxfId="395" dataCellStyle="Normal 2"/>
    <tableColumn id="13" xr3:uid="{EA0B3F5E-3B79-4396-9BD6-8EB8A3780C80}" name="Sale Team" dataDxfId="394" dataCellStyle="Normal 2"/>
    <tableColumn id="14" xr3:uid="{747DB425-499B-4523-8CFF-68F32DE16085}" name="Consultant" dataDxfId="393" dataCellStyle="Normal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9608C-7EAF-447D-BF86-F6A57EC462E1}">
  <sheetPr codeName="Sheet1">
    <tabColor theme="5"/>
  </sheetPr>
  <dimension ref="A1:O1239"/>
  <sheetViews>
    <sheetView showGridLines="0" showRowColHeaders="0" zoomScaleNormal="100" workbookViewId="0">
      <selection activeCell="C1" sqref="C1"/>
    </sheetView>
  </sheetViews>
  <sheetFormatPr defaultColWidth="12.44140625" defaultRowHeight="21" customHeight="1" x14ac:dyDescent="0.3"/>
  <cols>
    <col min="1" max="1" width="6.109375" style="17" customWidth="1"/>
    <col min="2" max="7" width="13.6640625" style="2" customWidth="1"/>
    <col min="8" max="8" width="17.44140625" style="2" customWidth="1"/>
    <col min="9" max="11" width="13.6640625" style="2" customWidth="1"/>
    <col min="12" max="12" width="16" style="2" customWidth="1"/>
    <col min="13" max="15" width="13.6640625" style="2" customWidth="1"/>
    <col min="16" max="16384" width="12.44140625" style="2"/>
  </cols>
  <sheetData>
    <row r="1" spans="1:15" ht="33" customHeight="1" x14ac:dyDescent="0.3"/>
    <row r="2" spans="1:15" s="3" customFormat="1" ht="37.049999999999997" customHeight="1" x14ac:dyDescent="0.3">
      <c r="A2" s="18"/>
      <c r="B2" s="9" t="s">
        <v>0</v>
      </c>
      <c r="C2" s="10" t="s">
        <v>1</v>
      </c>
      <c r="D2" s="9" t="s">
        <v>2</v>
      </c>
      <c r="E2" s="9" t="s">
        <v>3</v>
      </c>
      <c r="F2" s="9" t="s">
        <v>4</v>
      </c>
      <c r="G2" s="9" t="s">
        <v>5</v>
      </c>
      <c r="H2" s="9" t="s">
        <v>6</v>
      </c>
      <c r="I2" s="9" t="s">
        <v>7</v>
      </c>
      <c r="J2" s="9" t="s">
        <v>8</v>
      </c>
      <c r="K2" s="9" t="s">
        <v>9</v>
      </c>
      <c r="L2" s="9" t="s">
        <v>10</v>
      </c>
      <c r="M2" s="9" t="s">
        <v>11</v>
      </c>
      <c r="N2" s="9" t="s">
        <v>12</v>
      </c>
      <c r="O2" s="9" t="s">
        <v>13</v>
      </c>
    </row>
    <row r="3" spans="1:15" ht="21" customHeight="1" x14ac:dyDescent="0.3">
      <c r="B3" s="4" t="s">
        <v>14</v>
      </c>
      <c r="C3" s="5">
        <v>1</v>
      </c>
      <c r="D3" s="6" t="s">
        <v>15</v>
      </c>
      <c r="E3" s="4" t="s">
        <v>16</v>
      </c>
      <c r="F3" s="4" t="s">
        <v>17</v>
      </c>
      <c r="G3" s="7">
        <v>1</v>
      </c>
      <c r="H3" s="1">
        <v>7000000</v>
      </c>
      <c r="I3" s="4">
        <v>3</v>
      </c>
      <c r="J3" s="8">
        <v>1.3888888888888889E-3</v>
      </c>
      <c r="K3" s="4" t="s">
        <v>18</v>
      </c>
      <c r="L3" s="4" t="s">
        <v>19</v>
      </c>
      <c r="M3" s="4" t="s">
        <v>20</v>
      </c>
      <c r="N3" s="4" t="s">
        <v>21</v>
      </c>
      <c r="O3" s="4" t="s">
        <v>22</v>
      </c>
    </row>
    <row r="4" spans="1:15" ht="21" customHeight="1" x14ac:dyDescent="0.3">
      <c r="B4" s="11" t="s">
        <v>14</v>
      </c>
      <c r="C4" s="12">
        <v>10</v>
      </c>
      <c r="D4" s="13" t="s">
        <v>23</v>
      </c>
      <c r="E4" s="11" t="s">
        <v>16</v>
      </c>
      <c r="F4" s="11" t="s">
        <v>24</v>
      </c>
      <c r="G4" s="14">
        <v>3</v>
      </c>
      <c r="H4" s="15">
        <v>11000000</v>
      </c>
      <c r="I4" s="11">
        <v>1</v>
      </c>
      <c r="J4" s="16">
        <v>1.3888888888888889E-3</v>
      </c>
      <c r="K4" s="11" t="s">
        <v>18</v>
      </c>
      <c r="L4" s="11" t="s">
        <v>25</v>
      </c>
      <c r="M4" s="11" t="s">
        <v>26</v>
      </c>
      <c r="N4" s="11" t="s">
        <v>27</v>
      </c>
      <c r="O4" s="11" t="s">
        <v>28</v>
      </c>
    </row>
    <row r="5" spans="1:15" ht="21" customHeight="1" x14ac:dyDescent="0.3">
      <c r="B5" s="4" t="s">
        <v>14</v>
      </c>
      <c r="C5" s="5">
        <v>20</v>
      </c>
      <c r="D5" s="6" t="s">
        <v>29</v>
      </c>
      <c r="E5" s="4" t="s">
        <v>30</v>
      </c>
      <c r="F5" s="4" t="s">
        <v>17</v>
      </c>
      <c r="G5" s="7">
        <v>2</v>
      </c>
      <c r="H5" s="1">
        <v>12000000</v>
      </c>
      <c r="I5" s="4">
        <v>3</v>
      </c>
      <c r="J5" s="8">
        <v>1.3888888888888889E-3</v>
      </c>
      <c r="K5" s="4" t="s">
        <v>18</v>
      </c>
      <c r="L5" s="4" t="s">
        <v>31</v>
      </c>
      <c r="M5" s="4" t="s">
        <v>32</v>
      </c>
      <c r="N5" s="4" t="s">
        <v>27</v>
      </c>
      <c r="O5" s="4" t="s">
        <v>33</v>
      </c>
    </row>
    <row r="6" spans="1:15" ht="21" customHeight="1" x14ac:dyDescent="0.3">
      <c r="B6" s="11" t="s">
        <v>14</v>
      </c>
      <c r="C6" s="12">
        <v>23</v>
      </c>
      <c r="D6" s="13" t="s">
        <v>29</v>
      </c>
      <c r="E6" s="11" t="s">
        <v>34</v>
      </c>
      <c r="F6" s="11" t="s">
        <v>17</v>
      </c>
      <c r="G6" s="14">
        <v>4</v>
      </c>
      <c r="H6" s="15">
        <v>15000000</v>
      </c>
      <c r="I6" s="11">
        <v>1</v>
      </c>
      <c r="J6" s="16">
        <v>1.3888888888888889E-3</v>
      </c>
      <c r="K6" s="11" t="s">
        <v>18</v>
      </c>
      <c r="L6" s="11" t="s">
        <v>31</v>
      </c>
      <c r="M6" s="11" t="s">
        <v>35</v>
      </c>
      <c r="N6" s="11" t="s">
        <v>36</v>
      </c>
      <c r="O6" s="11" t="s">
        <v>37</v>
      </c>
    </row>
    <row r="7" spans="1:15" ht="21" customHeight="1" x14ac:dyDescent="0.3">
      <c r="B7" s="4" t="s">
        <v>14</v>
      </c>
      <c r="C7" s="5">
        <v>11</v>
      </c>
      <c r="D7" s="6" t="s">
        <v>29</v>
      </c>
      <c r="E7" s="4" t="s">
        <v>16</v>
      </c>
      <c r="F7" s="4" t="s">
        <v>17</v>
      </c>
      <c r="G7" s="7">
        <v>5</v>
      </c>
      <c r="H7" s="1">
        <v>25000000</v>
      </c>
      <c r="I7" s="4">
        <v>2</v>
      </c>
      <c r="J7" s="8">
        <v>1.3888888888888889E-3</v>
      </c>
      <c r="K7" s="4" t="s">
        <v>18</v>
      </c>
      <c r="L7" s="4" t="s">
        <v>38</v>
      </c>
      <c r="M7" s="4" t="s">
        <v>26</v>
      </c>
      <c r="N7" s="4" t="s">
        <v>39</v>
      </c>
      <c r="O7" s="4" t="s">
        <v>40</v>
      </c>
    </row>
    <row r="8" spans="1:15" ht="21" customHeight="1" x14ac:dyDescent="0.3">
      <c r="B8" s="11" t="s">
        <v>14</v>
      </c>
      <c r="C8" s="12">
        <v>2</v>
      </c>
      <c r="D8" s="13" t="s">
        <v>41</v>
      </c>
      <c r="E8" s="11" t="s">
        <v>42</v>
      </c>
      <c r="F8" s="11" t="s">
        <v>24</v>
      </c>
      <c r="G8" s="14">
        <v>3</v>
      </c>
      <c r="H8" s="15">
        <v>12000000</v>
      </c>
      <c r="I8" s="11">
        <v>1</v>
      </c>
      <c r="J8" s="16">
        <v>1.3888888888888889E-3</v>
      </c>
      <c r="K8" s="11" t="s">
        <v>18</v>
      </c>
      <c r="L8" s="11" t="s">
        <v>43</v>
      </c>
      <c r="M8" s="11" t="s">
        <v>44</v>
      </c>
      <c r="N8" s="11" t="s">
        <v>21</v>
      </c>
      <c r="O8" s="11" t="s">
        <v>45</v>
      </c>
    </row>
    <row r="9" spans="1:15" ht="21" customHeight="1" x14ac:dyDescent="0.3">
      <c r="B9" s="4" t="s">
        <v>14</v>
      </c>
      <c r="C9" s="5">
        <v>6</v>
      </c>
      <c r="D9" s="6" t="s">
        <v>41</v>
      </c>
      <c r="E9" s="4" t="s">
        <v>42</v>
      </c>
      <c r="F9" s="4" t="s">
        <v>46</v>
      </c>
      <c r="G9" s="7">
        <v>5</v>
      </c>
      <c r="H9" s="1">
        <v>20000000</v>
      </c>
      <c r="I9" s="4">
        <v>2</v>
      </c>
      <c r="J9" s="8">
        <v>1.3888888888888889E-3</v>
      </c>
      <c r="K9" s="4" t="s">
        <v>18</v>
      </c>
      <c r="L9" s="4" t="s">
        <v>19</v>
      </c>
      <c r="M9" s="4" t="s">
        <v>47</v>
      </c>
      <c r="N9" s="4" t="s">
        <v>39</v>
      </c>
      <c r="O9" s="4" t="s">
        <v>40</v>
      </c>
    </row>
    <row r="10" spans="1:15" ht="21" customHeight="1" x14ac:dyDescent="0.3">
      <c r="B10" s="11" t="s">
        <v>14</v>
      </c>
      <c r="C10" s="12">
        <v>26</v>
      </c>
      <c r="D10" s="13" t="s">
        <v>48</v>
      </c>
      <c r="E10" s="11" t="s">
        <v>34</v>
      </c>
      <c r="F10" s="11" t="s">
        <v>49</v>
      </c>
      <c r="G10" s="14">
        <v>1</v>
      </c>
      <c r="H10" s="15">
        <v>19000000</v>
      </c>
      <c r="I10" s="11">
        <v>2</v>
      </c>
      <c r="J10" s="16">
        <v>1.3888888888888889E-3</v>
      </c>
      <c r="K10" s="11" t="s">
        <v>50</v>
      </c>
      <c r="L10" s="11" t="s">
        <v>51</v>
      </c>
      <c r="M10" s="11" t="s">
        <v>35</v>
      </c>
      <c r="N10" s="11" t="s">
        <v>21</v>
      </c>
      <c r="O10" s="11" t="s">
        <v>45</v>
      </c>
    </row>
    <row r="11" spans="1:15" ht="21" customHeight="1" x14ac:dyDescent="0.3">
      <c r="B11" s="4" t="s">
        <v>14</v>
      </c>
      <c r="C11" s="5">
        <v>15</v>
      </c>
      <c r="D11" s="6" t="s">
        <v>48</v>
      </c>
      <c r="E11" s="4" t="s">
        <v>42</v>
      </c>
      <c r="F11" s="4" t="s">
        <v>46</v>
      </c>
      <c r="G11" s="7">
        <v>2</v>
      </c>
      <c r="H11" s="1">
        <v>38000000</v>
      </c>
      <c r="I11" s="4">
        <v>2</v>
      </c>
      <c r="J11" s="8">
        <v>1.3888888888888889E-3</v>
      </c>
      <c r="K11" s="4" t="s">
        <v>50</v>
      </c>
      <c r="L11" s="4" t="s">
        <v>43</v>
      </c>
      <c r="M11" s="4" t="s">
        <v>52</v>
      </c>
      <c r="N11" s="4" t="s">
        <v>27</v>
      </c>
      <c r="O11" s="4" t="s">
        <v>28</v>
      </c>
    </row>
    <row r="12" spans="1:15" ht="21" customHeight="1" x14ac:dyDescent="0.3">
      <c r="B12" s="11" t="s">
        <v>14</v>
      </c>
      <c r="C12" s="12">
        <v>17</v>
      </c>
      <c r="D12" s="13" t="s">
        <v>48</v>
      </c>
      <c r="E12" s="11" t="s">
        <v>53</v>
      </c>
      <c r="F12" s="11" t="s">
        <v>24</v>
      </c>
      <c r="G12" s="14">
        <v>2</v>
      </c>
      <c r="H12" s="15">
        <v>12000000</v>
      </c>
      <c r="I12" s="11">
        <v>2</v>
      </c>
      <c r="J12" s="16">
        <v>1.3888888888888889E-3</v>
      </c>
      <c r="K12" s="11" t="s">
        <v>18</v>
      </c>
      <c r="L12" s="11" t="s">
        <v>54</v>
      </c>
      <c r="M12" s="11" t="s">
        <v>55</v>
      </c>
      <c r="N12" s="11" t="s">
        <v>27</v>
      </c>
      <c r="O12" s="11" t="s">
        <v>56</v>
      </c>
    </row>
    <row r="13" spans="1:15" ht="21" customHeight="1" x14ac:dyDescent="0.3">
      <c r="B13" s="4" t="s">
        <v>14</v>
      </c>
      <c r="C13" s="5">
        <v>1</v>
      </c>
      <c r="D13" s="6" t="s">
        <v>15</v>
      </c>
      <c r="E13" s="4" t="s">
        <v>16</v>
      </c>
      <c r="F13" s="4" t="s">
        <v>17</v>
      </c>
      <c r="G13" s="7">
        <v>1</v>
      </c>
      <c r="H13" s="1">
        <v>7000000</v>
      </c>
      <c r="I13" s="4">
        <v>3</v>
      </c>
      <c r="J13" s="8">
        <v>1.3888888888888889E-3</v>
      </c>
      <c r="K13" s="4" t="s">
        <v>18</v>
      </c>
      <c r="L13" s="4" t="s">
        <v>19</v>
      </c>
      <c r="M13" s="4" t="s">
        <v>20</v>
      </c>
      <c r="N13" s="4" t="s">
        <v>21</v>
      </c>
      <c r="O13" s="4" t="s">
        <v>22</v>
      </c>
    </row>
    <row r="14" spans="1:15" ht="21" customHeight="1" x14ac:dyDescent="0.3">
      <c r="B14" s="11" t="s">
        <v>14</v>
      </c>
      <c r="C14" s="12">
        <v>2</v>
      </c>
      <c r="D14" s="13" t="s">
        <v>41</v>
      </c>
      <c r="E14" s="11" t="s">
        <v>42</v>
      </c>
      <c r="F14" s="11" t="s">
        <v>24</v>
      </c>
      <c r="G14" s="14">
        <v>3</v>
      </c>
      <c r="H14" s="15">
        <v>12000000</v>
      </c>
      <c r="I14" s="11">
        <v>1</v>
      </c>
      <c r="J14" s="16">
        <v>1.3888888888888889E-3</v>
      </c>
      <c r="K14" s="11" t="s">
        <v>18</v>
      </c>
      <c r="L14" s="11" t="s">
        <v>43</v>
      </c>
      <c r="M14" s="11" t="s">
        <v>44</v>
      </c>
      <c r="N14" s="11" t="s">
        <v>21</v>
      </c>
      <c r="O14" s="11" t="s">
        <v>28</v>
      </c>
    </row>
    <row r="15" spans="1:15" ht="21" customHeight="1" x14ac:dyDescent="0.3">
      <c r="B15" s="4" t="s">
        <v>14</v>
      </c>
      <c r="C15" s="5">
        <v>6</v>
      </c>
      <c r="D15" s="6" t="s">
        <v>41</v>
      </c>
      <c r="E15" s="4" t="s">
        <v>42</v>
      </c>
      <c r="F15" s="4" t="s">
        <v>46</v>
      </c>
      <c r="G15" s="7">
        <v>5</v>
      </c>
      <c r="H15" s="1">
        <v>20000000</v>
      </c>
      <c r="I15" s="4">
        <v>2</v>
      </c>
      <c r="J15" s="8">
        <v>1.3888888888888889E-3</v>
      </c>
      <c r="K15" s="4" t="s">
        <v>18</v>
      </c>
      <c r="L15" s="4" t="s">
        <v>19</v>
      </c>
      <c r="M15" s="4" t="s">
        <v>47</v>
      </c>
      <c r="N15" s="4" t="s">
        <v>39</v>
      </c>
      <c r="O15" s="4" t="s">
        <v>57</v>
      </c>
    </row>
    <row r="16" spans="1:15" ht="21" customHeight="1" x14ac:dyDescent="0.3">
      <c r="B16" s="11" t="s">
        <v>14</v>
      </c>
      <c r="C16" s="12">
        <v>26</v>
      </c>
      <c r="D16" s="13" t="s">
        <v>48</v>
      </c>
      <c r="E16" s="11" t="s">
        <v>34</v>
      </c>
      <c r="F16" s="11" t="s">
        <v>49</v>
      </c>
      <c r="G16" s="14">
        <v>1</v>
      </c>
      <c r="H16" s="15">
        <v>19000000</v>
      </c>
      <c r="I16" s="11">
        <v>2</v>
      </c>
      <c r="J16" s="16">
        <v>1.3888888888888889E-3</v>
      </c>
      <c r="K16" s="11" t="s">
        <v>50</v>
      </c>
      <c r="L16" s="11" t="s">
        <v>51</v>
      </c>
      <c r="M16" s="11" t="s">
        <v>35</v>
      </c>
      <c r="N16" s="11" t="s">
        <v>21</v>
      </c>
      <c r="O16" s="11" t="s">
        <v>58</v>
      </c>
    </row>
    <row r="17" spans="2:15" ht="21" customHeight="1" x14ac:dyDescent="0.3">
      <c r="B17" s="4" t="s">
        <v>14</v>
      </c>
      <c r="C17" s="5">
        <v>2</v>
      </c>
      <c r="D17" s="6" t="s">
        <v>41</v>
      </c>
      <c r="E17" s="4" t="s">
        <v>42</v>
      </c>
      <c r="F17" s="4" t="s">
        <v>24</v>
      </c>
      <c r="G17" s="7">
        <v>3</v>
      </c>
      <c r="H17" s="1">
        <v>12000000</v>
      </c>
      <c r="I17" s="4">
        <v>1</v>
      </c>
      <c r="J17" s="8">
        <v>1.3888888888888889E-3</v>
      </c>
      <c r="K17" s="4" t="s">
        <v>18</v>
      </c>
      <c r="L17" s="4" t="s">
        <v>43</v>
      </c>
      <c r="M17" s="4" t="s">
        <v>44</v>
      </c>
      <c r="N17" s="4" t="s">
        <v>21</v>
      </c>
      <c r="O17" s="4" t="s">
        <v>33</v>
      </c>
    </row>
    <row r="18" spans="2:15" ht="21" customHeight="1" x14ac:dyDescent="0.3">
      <c r="B18" s="11" t="s">
        <v>14</v>
      </c>
      <c r="C18" s="12">
        <v>6</v>
      </c>
      <c r="D18" s="13" t="s">
        <v>41</v>
      </c>
      <c r="E18" s="11" t="s">
        <v>42</v>
      </c>
      <c r="F18" s="11" t="s">
        <v>46</v>
      </c>
      <c r="G18" s="14">
        <v>5</v>
      </c>
      <c r="H18" s="15">
        <v>20000000</v>
      </c>
      <c r="I18" s="11">
        <v>2</v>
      </c>
      <c r="J18" s="16">
        <v>1.3888888888888889E-3</v>
      </c>
      <c r="K18" s="11" t="s">
        <v>18</v>
      </c>
      <c r="L18" s="11" t="s">
        <v>19</v>
      </c>
      <c r="M18" s="11" t="s">
        <v>47</v>
      </c>
      <c r="N18" s="11" t="s">
        <v>39</v>
      </c>
      <c r="O18" s="11" t="s">
        <v>57</v>
      </c>
    </row>
    <row r="19" spans="2:15" ht="21" customHeight="1" x14ac:dyDescent="0.3">
      <c r="B19" s="4" t="s">
        <v>14</v>
      </c>
      <c r="C19" s="5">
        <v>26</v>
      </c>
      <c r="D19" s="6" t="s">
        <v>48</v>
      </c>
      <c r="E19" s="4" t="s">
        <v>34</v>
      </c>
      <c r="F19" s="4" t="s">
        <v>49</v>
      </c>
      <c r="G19" s="7">
        <v>1</v>
      </c>
      <c r="H19" s="1">
        <v>19000000</v>
      </c>
      <c r="I19" s="4">
        <v>2</v>
      </c>
      <c r="J19" s="8">
        <v>1.3888888888888889E-3</v>
      </c>
      <c r="K19" s="4" t="s">
        <v>50</v>
      </c>
      <c r="L19" s="4" t="s">
        <v>51</v>
      </c>
      <c r="M19" s="4" t="s">
        <v>35</v>
      </c>
      <c r="N19" s="4" t="s">
        <v>21</v>
      </c>
      <c r="O19" s="4" t="s">
        <v>58</v>
      </c>
    </row>
    <row r="20" spans="2:15" ht="21" customHeight="1" x14ac:dyDescent="0.3">
      <c r="B20" s="11" t="s">
        <v>14</v>
      </c>
      <c r="C20" s="12">
        <v>12</v>
      </c>
      <c r="D20" s="13" t="s">
        <v>59</v>
      </c>
      <c r="E20" s="11" t="s">
        <v>16</v>
      </c>
      <c r="F20" s="11" t="s">
        <v>46</v>
      </c>
      <c r="G20" s="14">
        <v>3</v>
      </c>
      <c r="H20" s="15">
        <v>11000000</v>
      </c>
      <c r="I20" s="11">
        <v>1</v>
      </c>
      <c r="J20" s="16">
        <v>1.3888888888888889E-3</v>
      </c>
      <c r="K20" s="11" t="s">
        <v>18</v>
      </c>
      <c r="L20" s="11" t="s">
        <v>60</v>
      </c>
      <c r="M20" s="11" t="s">
        <v>55</v>
      </c>
      <c r="N20" s="11" t="s">
        <v>27</v>
      </c>
      <c r="O20" s="11" t="s">
        <v>56</v>
      </c>
    </row>
    <row r="21" spans="2:15" ht="21" customHeight="1" x14ac:dyDescent="0.3">
      <c r="B21" s="4" t="s">
        <v>14</v>
      </c>
      <c r="C21" s="5">
        <v>11</v>
      </c>
      <c r="D21" s="6" t="s">
        <v>61</v>
      </c>
      <c r="E21" s="4" t="s">
        <v>30</v>
      </c>
      <c r="F21" s="4" t="s">
        <v>24</v>
      </c>
      <c r="G21" s="7">
        <v>5</v>
      </c>
      <c r="H21" s="1">
        <v>25000000</v>
      </c>
      <c r="I21" s="4">
        <v>1</v>
      </c>
      <c r="J21" s="8">
        <v>1.3888888888888889E-3</v>
      </c>
      <c r="K21" s="4" t="s">
        <v>18</v>
      </c>
      <c r="L21" s="4" t="s">
        <v>31</v>
      </c>
      <c r="M21" s="4" t="s">
        <v>47</v>
      </c>
      <c r="N21" s="4" t="s">
        <v>27</v>
      </c>
      <c r="O21" s="4" t="s">
        <v>33</v>
      </c>
    </row>
    <row r="22" spans="2:15" ht="21" customHeight="1" x14ac:dyDescent="0.3">
      <c r="B22" s="11" t="s">
        <v>14</v>
      </c>
      <c r="C22" s="12">
        <v>11</v>
      </c>
      <c r="D22" s="13" t="s">
        <v>62</v>
      </c>
      <c r="E22" s="11" t="s">
        <v>34</v>
      </c>
      <c r="F22" s="11" t="s">
        <v>46</v>
      </c>
      <c r="G22" s="14">
        <v>2</v>
      </c>
      <c r="H22" s="15">
        <v>38000000</v>
      </c>
      <c r="I22" s="11">
        <v>2</v>
      </c>
      <c r="J22" s="16">
        <v>1.3888888888888889E-3</v>
      </c>
      <c r="K22" s="11" t="s">
        <v>50</v>
      </c>
      <c r="L22" s="11" t="s">
        <v>60</v>
      </c>
      <c r="M22" s="11" t="s">
        <v>47</v>
      </c>
      <c r="N22" s="11" t="s">
        <v>21</v>
      </c>
      <c r="O22" s="11" t="s">
        <v>57</v>
      </c>
    </row>
    <row r="23" spans="2:15" ht="21" customHeight="1" x14ac:dyDescent="0.3">
      <c r="B23" s="4" t="s">
        <v>14</v>
      </c>
      <c r="C23" s="5">
        <v>3</v>
      </c>
      <c r="D23" s="6" t="s">
        <v>15</v>
      </c>
      <c r="E23" s="4" t="s">
        <v>42</v>
      </c>
      <c r="F23" s="4" t="s">
        <v>46</v>
      </c>
      <c r="G23" s="7">
        <v>4</v>
      </c>
      <c r="H23" s="1">
        <v>15000000</v>
      </c>
      <c r="I23" s="4">
        <v>1</v>
      </c>
      <c r="J23" s="8">
        <v>1.3888888888888889E-3</v>
      </c>
      <c r="K23" s="4" t="s">
        <v>18</v>
      </c>
      <c r="L23" s="4" t="s">
        <v>60</v>
      </c>
      <c r="M23" s="4" t="s">
        <v>20</v>
      </c>
      <c r="N23" s="4" t="s">
        <v>21</v>
      </c>
      <c r="O23" s="4" t="s">
        <v>45</v>
      </c>
    </row>
    <row r="24" spans="2:15" ht="21" customHeight="1" x14ac:dyDescent="0.3">
      <c r="B24" s="11" t="s">
        <v>14</v>
      </c>
      <c r="C24" s="12">
        <v>11</v>
      </c>
      <c r="D24" s="13" t="s">
        <v>63</v>
      </c>
      <c r="E24" s="11" t="s">
        <v>16</v>
      </c>
      <c r="F24" s="11" t="s">
        <v>24</v>
      </c>
      <c r="G24" s="14">
        <v>1</v>
      </c>
      <c r="H24" s="15">
        <v>19000000</v>
      </c>
      <c r="I24" s="11">
        <v>1</v>
      </c>
      <c r="J24" s="16">
        <v>1.3888888888888889E-3</v>
      </c>
      <c r="K24" s="11" t="s">
        <v>50</v>
      </c>
      <c r="L24" s="11" t="s">
        <v>19</v>
      </c>
      <c r="M24" s="11" t="s">
        <v>26</v>
      </c>
      <c r="N24" s="11" t="s">
        <v>36</v>
      </c>
      <c r="O24" s="11" t="s">
        <v>58</v>
      </c>
    </row>
    <row r="25" spans="2:15" ht="21" customHeight="1" x14ac:dyDescent="0.3">
      <c r="B25" s="4" t="s">
        <v>14</v>
      </c>
      <c r="C25" s="5">
        <v>10</v>
      </c>
      <c r="D25" s="6" t="s">
        <v>63</v>
      </c>
      <c r="E25" s="4" t="s">
        <v>42</v>
      </c>
      <c r="F25" s="4" t="s">
        <v>17</v>
      </c>
      <c r="G25" s="7">
        <v>4</v>
      </c>
      <c r="H25" s="1">
        <v>20000000</v>
      </c>
      <c r="I25" s="4">
        <v>3</v>
      </c>
      <c r="J25" s="8">
        <v>1.3888888888888889E-3</v>
      </c>
      <c r="K25" s="4" t="s">
        <v>18</v>
      </c>
      <c r="L25" s="4" t="s">
        <v>51</v>
      </c>
      <c r="M25" s="4" t="s">
        <v>35</v>
      </c>
      <c r="N25" s="4" t="s">
        <v>36</v>
      </c>
      <c r="O25" s="4" t="s">
        <v>58</v>
      </c>
    </row>
    <row r="26" spans="2:15" ht="21" customHeight="1" x14ac:dyDescent="0.3">
      <c r="B26" s="11" t="s">
        <v>14</v>
      </c>
      <c r="C26" s="12">
        <v>5</v>
      </c>
      <c r="D26" s="13" t="s">
        <v>63</v>
      </c>
      <c r="E26" s="11" t="s">
        <v>42</v>
      </c>
      <c r="F26" s="11" t="s">
        <v>24</v>
      </c>
      <c r="G26" s="14">
        <v>1</v>
      </c>
      <c r="H26" s="15">
        <v>7000000</v>
      </c>
      <c r="I26" s="11">
        <v>2</v>
      </c>
      <c r="J26" s="16">
        <v>1.3888888888888889E-3</v>
      </c>
      <c r="K26" s="11" t="s">
        <v>18</v>
      </c>
      <c r="L26" s="11" t="s">
        <v>60</v>
      </c>
      <c r="M26" s="11" t="s">
        <v>52</v>
      </c>
      <c r="N26" s="11" t="s">
        <v>27</v>
      </c>
      <c r="O26" s="11" t="s">
        <v>56</v>
      </c>
    </row>
    <row r="27" spans="2:15" ht="21" customHeight="1" x14ac:dyDescent="0.3">
      <c r="B27" s="4" t="s">
        <v>14</v>
      </c>
      <c r="C27" s="5">
        <v>12</v>
      </c>
      <c r="D27" s="6" t="s">
        <v>64</v>
      </c>
      <c r="E27" s="4" t="s">
        <v>30</v>
      </c>
      <c r="F27" s="4" t="s">
        <v>24</v>
      </c>
      <c r="G27" s="7">
        <v>2</v>
      </c>
      <c r="H27" s="1">
        <v>38000000</v>
      </c>
      <c r="I27" s="4">
        <v>3</v>
      </c>
      <c r="J27" s="8">
        <v>1.3888888888888889E-3</v>
      </c>
      <c r="K27" s="4" t="s">
        <v>50</v>
      </c>
      <c r="L27" s="4" t="s">
        <v>43</v>
      </c>
      <c r="M27" s="4" t="s">
        <v>44</v>
      </c>
      <c r="N27" s="4" t="s">
        <v>21</v>
      </c>
      <c r="O27" s="4" t="s">
        <v>57</v>
      </c>
    </row>
    <row r="28" spans="2:15" ht="21" customHeight="1" x14ac:dyDescent="0.3">
      <c r="B28" s="11" t="s">
        <v>14</v>
      </c>
      <c r="C28" s="12">
        <v>26</v>
      </c>
      <c r="D28" s="13" t="s">
        <v>23</v>
      </c>
      <c r="E28" s="11" t="s">
        <v>16</v>
      </c>
      <c r="F28" s="11" t="s">
        <v>46</v>
      </c>
      <c r="G28" s="14">
        <v>4</v>
      </c>
      <c r="H28" s="15">
        <v>20000000</v>
      </c>
      <c r="I28" s="11">
        <v>3</v>
      </c>
      <c r="J28" s="16">
        <v>1.3888888888888889E-3</v>
      </c>
      <c r="K28" s="11" t="s">
        <v>65</v>
      </c>
      <c r="L28" s="11" t="s">
        <v>19</v>
      </c>
      <c r="M28" s="11" t="s">
        <v>20</v>
      </c>
      <c r="N28" s="11" t="s">
        <v>39</v>
      </c>
      <c r="O28" s="11" t="s">
        <v>40</v>
      </c>
    </row>
    <row r="29" spans="2:15" ht="21" customHeight="1" x14ac:dyDescent="0.3">
      <c r="B29" s="4" t="s">
        <v>14</v>
      </c>
      <c r="C29" s="5">
        <v>25</v>
      </c>
      <c r="D29" s="6" t="s">
        <v>29</v>
      </c>
      <c r="E29" s="4" t="s">
        <v>16</v>
      </c>
      <c r="F29" s="4" t="s">
        <v>17</v>
      </c>
      <c r="G29" s="7">
        <v>3</v>
      </c>
      <c r="H29" s="1">
        <v>15000000</v>
      </c>
      <c r="I29" s="4">
        <v>3</v>
      </c>
      <c r="J29" s="8">
        <v>1.3888888888888889E-3</v>
      </c>
      <c r="K29" s="4" t="s">
        <v>18</v>
      </c>
      <c r="L29" s="4" t="s">
        <v>60</v>
      </c>
      <c r="M29" s="4" t="s">
        <v>32</v>
      </c>
      <c r="N29" s="4" t="s">
        <v>27</v>
      </c>
      <c r="O29" s="4" t="s">
        <v>56</v>
      </c>
    </row>
    <row r="30" spans="2:15" ht="21" customHeight="1" x14ac:dyDescent="0.3">
      <c r="B30" s="11" t="s">
        <v>14</v>
      </c>
      <c r="C30" s="12">
        <v>11</v>
      </c>
      <c r="D30" s="13" t="s">
        <v>29</v>
      </c>
      <c r="E30" s="11" t="s">
        <v>16</v>
      </c>
      <c r="F30" s="11" t="s">
        <v>46</v>
      </c>
      <c r="G30" s="14">
        <v>3</v>
      </c>
      <c r="H30" s="15">
        <v>12000000</v>
      </c>
      <c r="I30" s="11">
        <v>4</v>
      </c>
      <c r="J30" s="16">
        <v>1.3888888888888889E-3</v>
      </c>
      <c r="K30" s="11" t="s">
        <v>18</v>
      </c>
      <c r="L30" s="11" t="s">
        <v>25</v>
      </c>
      <c r="M30" s="11" t="s">
        <v>20</v>
      </c>
      <c r="N30" s="11" t="s">
        <v>39</v>
      </c>
      <c r="O30" s="11" t="s">
        <v>40</v>
      </c>
    </row>
    <row r="31" spans="2:15" ht="21" customHeight="1" x14ac:dyDescent="0.3">
      <c r="B31" s="4" t="s">
        <v>14</v>
      </c>
      <c r="C31" s="5">
        <v>18</v>
      </c>
      <c r="D31" s="6" t="s">
        <v>29</v>
      </c>
      <c r="E31" s="4" t="s">
        <v>16</v>
      </c>
      <c r="F31" s="4" t="s">
        <v>24</v>
      </c>
      <c r="G31" s="7">
        <v>4</v>
      </c>
      <c r="H31" s="1">
        <v>15000000</v>
      </c>
      <c r="I31" s="4">
        <v>2</v>
      </c>
      <c r="J31" s="8">
        <v>1.3888888888888889E-3</v>
      </c>
      <c r="K31" s="4" t="s">
        <v>18</v>
      </c>
      <c r="L31" s="4" t="s">
        <v>43</v>
      </c>
      <c r="M31" s="4" t="s">
        <v>52</v>
      </c>
      <c r="N31" s="4" t="s">
        <v>21</v>
      </c>
      <c r="O31" s="4" t="s">
        <v>66</v>
      </c>
    </row>
    <row r="32" spans="2:15" ht="21" customHeight="1" x14ac:dyDescent="0.3">
      <c r="B32" s="11" t="s">
        <v>14</v>
      </c>
      <c r="C32" s="12">
        <v>1</v>
      </c>
      <c r="D32" s="13" t="s">
        <v>41</v>
      </c>
      <c r="E32" s="11" t="s">
        <v>34</v>
      </c>
      <c r="F32" s="11" t="s">
        <v>46</v>
      </c>
      <c r="G32" s="14">
        <v>3</v>
      </c>
      <c r="H32" s="15">
        <v>15000000</v>
      </c>
      <c r="I32" s="11">
        <v>3</v>
      </c>
      <c r="J32" s="16">
        <v>1.3888888888888889E-3</v>
      </c>
      <c r="K32" s="11" t="s">
        <v>18</v>
      </c>
      <c r="L32" s="11" t="s">
        <v>43</v>
      </c>
      <c r="M32" s="11" t="s">
        <v>32</v>
      </c>
      <c r="N32" s="11" t="s">
        <v>27</v>
      </c>
      <c r="O32" s="11" t="s">
        <v>56</v>
      </c>
    </row>
    <row r="33" spans="2:15" ht="21" customHeight="1" x14ac:dyDescent="0.3">
      <c r="B33" s="4" t="s">
        <v>14</v>
      </c>
      <c r="C33" s="5">
        <v>1</v>
      </c>
      <c r="D33" s="6" t="s">
        <v>41</v>
      </c>
      <c r="E33" s="4" t="s">
        <v>16</v>
      </c>
      <c r="F33" s="4" t="s">
        <v>46</v>
      </c>
      <c r="G33" s="7">
        <v>2</v>
      </c>
      <c r="H33" s="1">
        <v>12000000</v>
      </c>
      <c r="I33" s="4">
        <v>6</v>
      </c>
      <c r="J33" s="8">
        <v>1.3888888888888889E-3</v>
      </c>
      <c r="K33" s="4" t="s">
        <v>18</v>
      </c>
      <c r="L33" s="4" t="s">
        <v>43</v>
      </c>
      <c r="M33" s="4" t="s">
        <v>32</v>
      </c>
      <c r="N33" s="4" t="s">
        <v>21</v>
      </c>
      <c r="O33" s="4" t="s">
        <v>45</v>
      </c>
    </row>
    <row r="34" spans="2:15" ht="21" customHeight="1" x14ac:dyDescent="0.3">
      <c r="B34" s="11" t="s">
        <v>14</v>
      </c>
      <c r="C34" s="12">
        <v>8</v>
      </c>
      <c r="D34" s="13" t="s">
        <v>41</v>
      </c>
      <c r="E34" s="11" t="s">
        <v>16</v>
      </c>
      <c r="F34" s="11" t="s">
        <v>46</v>
      </c>
      <c r="G34" s="14">
        <v>3</v>
      </c>
      <c r="H34" s="15">
        <v>15000000</v>
      </c>
      <c r="I34" s="11">
        <v>3</v>
      </c>
      <c r="J34" s="16">
        <v>1.3888888888888889E-3</v>
      </c>
      <c r="K34" s="11" t="s">
        <v>18</v>
      </c>
      <c r="L34" s="11" t="s">
        <v>38</v>
      </c>
      <c r="M34" s="11" t="s">
        <v>20</v>
      </c>
      <c r="N34" s="11" t="s">
        <v>21</v>
      </c>
      <c r="O34" s="11" t="s">
        <v>66</v>
      </c>
    </row>
    <row r="35" spans="2:15" ht="21" customHeight="1" x14ac:dyDescent="0.3">
      <c r="B35" s="4" t="s">
        <v>14</v>
      </c>
      <c r="C35" s="5">
        <v>20</v>
      </c>
      <c r="D35" s="6" t="s">
        <v>41</v>
      </c>
      <c r="E35" s="4" t="s">
        <v>30</v>
      </c>
      <c r="F35" s="4" t="s">
        <v>24</v>
      </c>
      <c r="G35" s="7">
        <v>5</v>
      </c>
      <c r="H35" s="1">
        <v>25000000</v>
      </c>
      <c r="I35" s="4">
        <v>4</v>
      </c>
      <c r="J35" s="8">
        <v>1.3888888888888889E-3</v>
      </c>
      <c r="K35" s="4" t="s">
        <v>18</v>
      </c>
      <c r="L35" s="4" t="s">
        <v>38</v>
      </c>
      <c r="M35" s="4" t="s">
        <v>32</v>
      </c>
      <c r="N35" s="4" t="s">
        <v>21</v>
      </c>
      <c r="O35" s="4" t="s">
        <v>67</v>
      </c>
    </row>
    <row r="36" spans="2:15" ht="21" customHeight="1" x14ac:dyDescent="0.3">
      <c r="B36" s="11" t="s">
        <v>14</v>
      </c>
      <c r="C36" s="12">
        <v>20</v>
      </c>
      <c r="D36" s="13" t="s">
        <v>41</v>
      </c>
      <c r="E36" s="11" t="s">
        <v>53</v>
      </c>
      <c r="F36" s="11" t="s">
        <v>17</v>
      </c>
      <c r="G36" s="14">
        <v>2</v>
      </c>
      <c r="H36" s="15">
        <v>12000000</v>
      </c>
      <c r="I36" s="11">
        <v>4</v>
      </c>
      <c r="J36" s="16">
        <v>1.3888888888888889E-3</v>
      </c>
      <c r="K36" s="11" t="s">
        <v>18</v>
      </c>
      <c r="L36" s="11" t="s">
        <v>68</v>
      </c>
      <c r="M36" s="11" t="s">
        <v>35</v>
      </c>
      <c r="N36" s="11" t="s">
        <v>36</v>
      </c>
      <c r="O36" s="11" t="s">
        <v>69</v>
      </c>
    </row>
    <row r="37" spans="2:15" ht="21" customHeight="1" x14ac:dyDescent="0.3">
      <c r="B37" s="4" t="s">
        <v>14</v>
      </c>
      <c r="C37" s="5">
        <v>1</v>
      </c>
      <c r="D37" s="6" t="s">
        <v>41</v>
      </c>
      <c r="E37" s="4" t="s">
        <v>30</v>
      </c>
      <c r="F37" s="4" t="s">
        <v>24</v>
      </c>
      <c r="G37" s="7">
        <v>3</v>
      </c>
      <c r="H37" s="1">
        <v>15000000</v>
      </c>
      <c r="I37" s="4">
        <v>5</v>
      </c>
      <c r="J37" s="8">
        <v>1.3888888888888889E-3</v>
      </c>
      <c r="K37" s="4" t="s">
        <v>18</v>
      </c>
      <c r="L37" s="4" t="s">
        <v>31</v>
      </c>
      <c r="M37" s="4" t="s">
        <v>44</v>
      </c>
      <c r="N37" s="4" t="s">
        <v>36</v>
      </c>
      <c r="O37" s="4" t="s">
        <v>58</v>
      </c>
    </row>
    <row r="38" spans="2:15" ht="21" customHeight="1" x14ac:dyDescent="0.3">
      <c r="B38" s="11" t="s">
        <v>14</v>
      </c>
      <c r="C38" s="12">
        <v>20</v>
      </c>
      <c r="D38" s="13" t="s">
        <v>41</v>
      </c>
      <c r="E38" s="11" t="s">
        <v>30</v>
      </c>
      <c r="F38" s="11" t="s">
        <v>46</v>
      </c>
      <c r="G38" s="14">
        <v>2</v>
      </c>
      <c r="H38" s="15">
        <v>10000000</v>
      </c>
      <c r="I38" s="11">
        <v>1</v>
      </c>
      <c r="J38" s="16">
        <v>1.3888888888888889E-3</v>
      </c>
      <c r="K38" s="11" t="s">
        <v>18</v>
      </c>
      <c r="L38" s="11" t="s">
        <v>68</v>
      </c>
      <c r="M38" s="11" t="s">
        <v>47</v>
      </c>
      <c r="N38" s="11" t="s">
        <v>21</v>
      </c>
      <c r="O38" s="11" t="s">
        <v>70</v>
      </c>
    </row>
    <row r="39" spans="2:15" ht="21" customHeight="1" x14ac:dyDescent="0.3">
      <c r="B39" s="4" t="s">
        <v>14</v>
      </c>
      <c r="C39" s="5">
        <v>1</v>
      </c>
      <c r="D39" s="6" t="s">
        <v>41</v>
      </c>
      <c r="E39" s="4" t="s">
        <v>30</v>
      </c>
      <c r="F39" s="4" t="s">
        <v>17</v>
      </c>
      <c r="G39" s="7">
        <v>3</v>
      </c>
      <c r="H39" s="1">
        <v>12000000</v>
      </c>
      <c r="I39" s="4">
        <v>2</v>
      </c>
      <c r="J39" s="8">
        <v>1.3888888888888889E-3</v>
      </c>
      <c r="K39" s="4" t="s">
        <v>18</v>
      </c>
      <c r="L39" s="4" t="s">
        <v>38</v>
      </c>
      <c r="M39" s="4" t="s">
        <v>26</v>
      </c>
      <c r="N39" s="4" t="s">
        <v>21</v>
      </c>
      <c r="O39" s="4" t="s">
        <v>57</v>
      </c>
    </row>
    <row r="40" spans="2:15" ht="21" customHeight="1" x14ac:dyDescent="0.3">
      <c r="B40" s="11" t="s">
        <v>14</v>
      </c>
      <c r="C40" s="12">
        <v>4</v>
      </c>
      <c r="D40" s="13" t="s">
        <v>41</v>
      </c>
      <c r="E40" s="11" t="s">
        <v>16</v>
      </c>
      <c r="F40" s="11" t="s">
        <v>24</v>
      </c>
      <c r="G40" s="14">
        <v>3</v>
      </c>
      <c r="H40" s="15">
        <v>11000000</v>
      </c>
      <c r="I40" s="11">
        <v>6</v>
      </c>
      <c r="J40" s="16">
        <v>1.3888888888888889E-3</v>
      </c>
      <c r="K40" s="11" t="s">
        <v>18</v>
      </c>
      <c r="L40" s="11" t="s">
        <v>43</v>
      </c>
      <c r="M40" s="11" t="s">
        <v>52</v>
      </c>
      <c r="N40" s="11" t="s">
        <v>27</v>
      </c>
      <c r="O40" s="11" t="s">
        <v>33</v>
      </c>
    </row>
    <row r="41" spans="2:15" ht="21" customHeight="1" x14ac:dyDescent="0.3">
      <c r="B41" s="4" t="s">
        <v>14</v>
      </c>
      <c r="C41" s="5">
        <v>3</v>
      </c>
      <c r="D41" s="6" t="s">
        <v>48</v>
      </c>
      <c r="E41" s="4" t="s">
        <v>34</v>
      </c>
      <c r="F41" s="4" t="s">
        <v>17</v>
      </c>
      <c r="G41" s="7">
        <v>1</v>
      </c>
      <c r="H41" s="1">
        <v>19000000</v>
      </c>
      <c r="I41" s="4">
        <v>3</v>
      </c>
      <c r="J41" s="8">
        <v>1.3888888888888889E-3</v>
      </c>
      <c r="K41" s="4" t="s">
        <v>50</v>
      </c>
      <c r="L41" s="4" t="s">
        <v>68</v>
      </c>
      <c r="M41" s="4" t="s">
        <v>52</v>
      </c>
      <c r="N41" s="4" t="s">
        <v>21</v>
      </c>
      <c r="O41" s="4" t="s">
        <v>57</v>
      </c>
    </row>
    <row r="42" spans="2:15" ht="21" customHeight="1" x14ac:dyDescent="0.3">
      <c r="B42" s="11" t="s">
        <v>14</v>
      </c>
      <c r="C42" s="12">
        <v>22</v>
      </c>
      <c r="D42" s="13" t="s">
        <v>48</v>
      </c>
      <c r="E42" s="11" t="s">
        <v>34</v>
      </c>
      <c r="F42" s="11" t="s">
        <v>17</v>
      </c>
      <c r="G42" s="14">
        <v>1</v>
      </c>
      <c r="H42" s="15">
        <v>19000000</v>
      </c>
      <c r="I42" s="11">
        <v>1</v>
      </c>
      <c r="J42" s="16">
        <v>1.3888888888888889E-3</v>
      </c>
      <c r="K42" s="11" t="s">
        <v>50</v>
      </c>
      <c r="L42" s="11" t="s">
        <v>25</v>
      </c>
      <c r="M42" s="11" t="s">
        <v>55</v>
      </c>
      <c r="N42" s="11" t="s">
        <v>39</v>
      </c>
      <c r="O42" s="11" t="s">
        <v>71</v>
      </c>
    </row>
    <row r="43" spans="2:15" ht="21" customHeight="1" x14ac:dyDescent="0.3">
      <c r="B43" s="4" t="s">
        <v>14</v>
      </c>
      <c r="C43" s="5">
        <v>13</v>
      </c>
      <c r="D43" s="6" t="s">
        <v>48</v>
      </c>
      <c r="E43" s="4" t="s">
        <v>53</v>
      </c>
      <c r="F43" s="4" t="s">
        <v>72</v>
      </c>
      <c r="G43" s="7">
        <v>4</v>
      </c>
      <c r="H43" s="1">
        <v>20000000</v>
      </c>
      <c r="I43" s="4">
        <v>3</v>
      </c>
      <c r="J43" s="8">
        <v>1.3888888888888889E-3</v>
      </c>
      <c r="K43" s="4" t="s">
        <v>65</v>
      </c>
      <c r="L43" s="4" t="s">
        <v>19</v>
      </c>
      <c r="M43" s="4" t="s">
        <v>32</v>
      </c>
      <c r="N43" s="4" t="s">
        <v>36</v>
      </c>
      <c r="O43" s="4" t="s">
        <v>58</v>
      </c>
    </row>
    <row r="44" spans="2:15" ht="21" customHeight="1" x14ac:dyDescent="0.3">
      <c r="B44" s="11" t="s">
        <v>14</v>
      </c>
      <c r="C44" s="12">
        <v>17</v>
      </c>
      <c r="D44" s="13" t="s">
        <v>48</v>
      </c>
      <c r="E44" s="11" t="s">
        <v>53</v>
      </c>
      <c r="F44" s="11" t="s">
        <v>46</v>
      </c>
      <c r="G44" s="14">
        <v>1</v>
      </c>
      <c r="H44" s="15">
        <v>7000000</v>
      </c>
      <c r="I44" s="11">
        <v>1</v>
      </c>
      <c r="J44" s="16">
        <v>1.3888888888888889E-3</v>
      </c>
      <c r="K44" s="11" t="s">
        <v>18</v>
      </c>
      <c r="L44" s="11" t="s">
        <v>19</v>
      </c>
      <c r="M44" s="11" t="s">
        <v>35</v>
      </c>
      <c r="N44" s="11" t="s">
        <v>21</v>
      </c>
      <c r="O44" s="11" t="s">
        <v>57</v>
      </c>
    </row>
    <row r="45" spans="2:15" ht="21" customHeight="1" x14ac:dyDescent="0.3">
      <c r="B45" s="4" t="s">
        <v>14</v>
      </c>
      <c r="C45" s="5">
        <v>30</v>
      </c>
      <c r="D45" s="6" t="s">
        <v>48</v>
      </c>
      <c r="E45" s="4" t="s">
        <v>53</v>
      </c>
      <c r="F45" s="4" t="s">
        <v>24</v>
      </c>
      <c r="G45" s="7">
        <v>2</v>
      </c>
      <c r="H45" s="1">
        <v>10000000</v>
      </c>
      <c r="I45" s="4">
        <v>1</v>
      </c>
      <c r="J45" s="8">
        <v>1.3888888888888889E-3</v>
      </c>
      <c r="K45" s="4" t="s">
        <v>18</v>
      </c>
      <c r="L45" s="4" t="s">
        <v>31</v>
      </c>
      <c r="M45" s="4" t="s">
        <v>35</v>
      </c>
      <c r="N45" s="4" t="s">
        <v>36</v>
      </c>
      <c r="O45" s="4" t="s">
        <v>69</v>
      </c>
    </row>
    <row r="46" spans="2:15" ht="21" customHeight="1" x14ac:dyDescent="0.3">
      <c r="B46" s="11" t="s">
        <v>14</v>
      </c>
      <c r="C46" s="12">
        <v>29</v>
      </c>
      <c r="D46" s="13" t="s">
        <v>48</v>
      </c>
      <c r="E46" s="11" t="s">
        <v>34</v>
      </c>
      <c r="F46" s="11" t="s">
        <v>46</v>
      </c>
      <c r="G46" s="14">
        <v>3</v>
      </c>
      <c r="H46" s="15">
        <v>15000000</v>
      </c>
      <c r="I46" s="11">
        <v>1</v>
      </c>
      <c r="J46" s="16">
        <v>1.3888888888888889E-3</v>
      </c>
      <c r="K46" s="11" t="s">
        <v>18</v>
      </c>
      <c r="L46" s="11" t="s">
        <v>19</v>
      </c>
      <c r="M46" s="11" t="s">
        <v>26</v>
      </c>
      <c r="N46" s="11" t="s">
        <v>27</v>
      </c>
      <c r="O46" s="11" t="s">
        <v>28</v>
      </c>
    </row>
    <row r="47" spans="2:15" ht="21" customHeight="1" x14ac:dyDescent="0.3">
      <c r="B47" s="4" t="s">
        <v>14</v>
      </c>
      <c r="C47" s="5">
        <v>6</v>
      </c>
      <c r="D47" s="6" t="s">
        <v>48</v>
      </c>
      <c r="E47" s="4" t="s">
        <v>53</v>
      </c>
      <c r="F47" s="4" t="s">
        <v>72</v>
      </c>
      <c r="G47" s="7">
        <v>1</v>
      </c>
      <c r="H47" s="1">
        <v>7000000</v>
      </c>
      <c r="I47" s="4">
        <v>3</v>
      </c>
      <c r="J47" s="8">
        <v>1.3888888888888889E-3</v>
      </c>
      <c r="K47" s="4" t="s">
        <v>18</v>
      </c>
      <c r="L47" s="4" t="s">
        <v>68</v>
      </c>
      <c r="M47" s="4" t="s">
        <v>55</v>
      </c>
      <c r="N47" s="4" t="s">
        <v>39</v>
      </c>
      <c r="O47" s="4" t="s">
        <v>71</v>
      </c>
    </row>
    <row r="48" spans="2:15" ht="21" customHeight="1" x14ac:dyDescent="0.3">
      <c r="B48" s="11" t="s">
        <v>14</v>
      </c>
      <c r="C48" s="12">
        <v>22</v>
      </c>
      <c r="D48" s="13" t="s">
        <v>73</v>
      </c>
      <c r="E48" s="11" t="s">
        <v>30</v>
      </c>
      <c r="F48" s="11" t="s">
        <v>17</v>
      </c>
      <c r="G48" s="14">
        <v>5</v>
      </c>
      <c r="H48" s="15">
        <v>25000000</v>
      </c>
      <c r="I48" s="11">
        <v>6</v>
      </c>
      <c r="J48" s="16">
        <v>1.3888888888888889E-3</v>
      </c>
      <c r="K48" s="11" t="s">
        <v>18</v>
      </c>
      <c r="L48" s="11" t="s">
        <v>60</v>
      </c>
      <c r="M48" s="11" t="s">
        <v>47</v>
      </c>
      <c r="N48" s="11" t="s">
        <v>39</v>
      </c>
      <c r="O48" s="11" t="s">
        <v>40</v>
      </c>
    </row>
    <row r="49" spans="2:15" ht="21" customHeight="1" x14ac:dyDescent="0.3">
      <c r="B49" s="4" t="s">
        <v>14</v>
      </c>
      <c r="C49" s="5">
        <v>3</v>
      </c>
      <c r="D49" s="6" t="s">
        <v>73</v>
      </c>
      <c r="E49" s="4" t="s">
        <v>34</v>
      </c>
      <c r="F49" s="4" t="s">
        <v>24</v>
      </c>
      <c r="G49" s="7">
        <v>5</v>
      </c>
      <c r="H49" s="1">
        <v>20000000</v>
      </c>
      <c r="I49" s="4">
        <v>4</v>
      </c>
      <c r="J49" s="8">
        <v>1.3888888888888889E-3</v>
      </c>
      <c r="K49" s="4" t="s">
        <v>18</v>
      </c>
      <c r="L49" s="4" t="s">
        <v>43</v>
      </c>
      <c r="M49" s="4" t="s">
        <v>55</v>
      </c>
      <c r="N49" s="4" t="s">
        <v>27</v>
      </c>
      <c r="O49" s="4" t="s">
        <v>56</v>
      </c>
    </row>
    <row r="50" spans="2:15" ht="21" customHeight="1" x14ac:dyDescent="0.3">
      <c r="B50" s="11" t="s">
        <v>14</v>
      </c>
      <c r="C50" s="12">
        <v>12</v>
      </c>
      <c r="D50" s="13" t="s">
        <v>59</v>
      </c>
      <c r="E50" s="11" t="s">
        <v>16</v>
      </c>
      <c r="F50" s="11" t="s">
        <v>46</v>
      </c>
      <c r="G50" s="14">
        <v>3</v>
      </c>
      <c r="H50" s="15">
        <v>11000000</v>
      </c>
      <c r="I50" s="11">
        <v>1</v>
      </c>
      <c r="J50" s="16">
        <v>1.3888888888888889E-3</v>
      </c>
      <c r="K50" s="11" t="s">
        <v>18</v>
      </c>
      <c r="L50" s="11" t="s">
        <v>60</v>
      </c>
      <c r="M50" s="11" t="s">
        <v>55</v>
      </c>
      <c r="N50" s="11" t="s">
        <v>27</v>
      </c>
      <c r="O50" s="11" t="s">
        <v>56</v>
      </c>
    </row>
    <row r="51" spans="2:15" ht="21" customHeight="1" x14ac:dyDescent="0.3">
      <c r="B51" s="4" t="s">
        <v>14</v>
      </c>
      <c r="C51" s="5">
        <v>11</v>
      </c>
      <c r="D51" s="6" t="s">
        <v>61</v>
      </c>
      <c r="E51" s="4" t="s">
        <v>30</v>
      </c>
      <c r="F51" s="4" t="s">
        <v>24</v>
      </c>
      <c r="G51" s="7">
        <v>5</v>
      </c>
      <c r="H51" s="1">
        <v>25000000</v>
      </c>
      <c r="I51" s="4">
        <v>1</v>
      </c>
      <c r="J51" s="8">
        <v>1.3888888888888889E-3</v>
      </c>
      <c r="K51" s="4" t="s">
        <v>18</v>
      </c>
      <c r="L51" s="4" t="s">
        <v>31</v>
      </c>
      <c r="M51" s="4" t="s">
        <v>47</v>
      </c>
      <c r="N51" s="4" t="s">
        <v>27</v>
      </c>
      <c r="O51" s="4" t="s">
        <v>33</v>
      </c>
    </row>
    <row r="52" spans="2:15" ht="21" customHeight="1" x14ac:dyDescent="0.3">
      <c r="B52" s="11" t="s">
        <v>14</v>
      </c>
      <c r="C52" s="12">
        <v>11</v>
      </c>
      <c r="D52" s="13" t="s">
        <v>62</v>
      </c>
      <c r="E52" s="11" t="s">
        <v>34</v>
      </c>
      <c r="F52" s="11" t="s">
        <v>46</v>
      </c>
      <c r="G52" s="14">
        <v>2</v>
      </c>
      <c r="H52" s="15">
        <v>38000000</v>
      </c>
      <c r="I52" s="11">
        <v>2</v>
      </c>
      <c r="J52" s="16">
        <v>1.3888888888888889E-3</v>
      </c>
      <c r="K52" s="11" t="s">
        <v>50</v>
      </c>
      <c r="L52" s="11" t="s">
        <v>60</v>
      </c>
      <c r="M52" s="11" t="s">
        <v>47</v>
      </c>
      <c r="N52" s="11" t="s">
        <v>21</v>
      </c>
      <c r="O52" s="11" t="s">
        <v>57</v>
      </c>
    </row>
    <row r="53" spans="2:15" ht="21" customHeight="1" x14ac:dyDescent="0.3">
      <c r="B53" s="4" t="s">
        <v>14</v>
      </c>
      <c r="C53" s="5">
        <v>3</v>
      </c>
      <c r="D53" s="6" t="s">
        <v>15</v>
      </c>
      <c r="E53" s="4" t="s">
        <v>42</v>
      </c>
      <c r="F53" s="4" t="s">
        <v>46</v>
      </c>
      <c r="G53" s="7">
        <v>4</v>
      </c>
      <c r="H53" s="1">
        <v>15000000</v>
      </c>
      <c r="I53" s="4">
        <v>1</v>
      </c>
      <c r="J53" s="8">
        <v>1.3888888888888889E-3</v>
      </c>
      <c r="K53" s="4" t="s">
        <v>18</v>
      </c>
      <c r="L53" s="4" t="s">
        <v>60</v>
      </c>
      <c r="M53" s="4" t="s">
        <v>20</v>
      </c>
      <c r="N53" s="4" t="s">
        <v>21</v>
      </c>
      <c r="O53" s="4" t="s">
        <v>45</v>
      </c>
    </row>
    <row r="54" spans="2:15" ht="21" customHeight="1" x14ac:dyDescent="0.3">
      <c r="B54" s="11" t="s">
        <v>14</v>
      </c>
      <c r="C54" s="12">
        <v>11</v>
      </c>
      <c r="D54" s="13" t="s">
        <v>63</v>
      </c>
      <c r="E54" s="11" t="s">
        <v>16</v>
      </c>
      <c r="F54" s="11" t="s">
        <v>24</v>
      </c>
      <c r="G54" s="14">
        <v>1</v>
      </c>
      <c r="H54" s="15">
        <v>19000000</v>
      </c>
      <c r="I54" s="11">
        <v>1</v>
      </c>
      <c r="J54" s="16">
        <v>1.3888888888888889E-3</v>
      </c>
      <c r="K54" s="11" t="s">
        <v>50</v>
      </c>
      <c r="L54" s="11" t="s">
        <v>19</v>
      </c>
      <c r="M54" s="11" t="s">
        <v>26</v>
      </c>
      <c r="N54" s="11" t="s">
        <v>36</v>
      </c>
      <c r="O54" s="11" t="s">
        <v>58</v>
      </c>
    </row>
    <row r="55" spans="2:15" ht="21" customHeight="1" x14ac:dyDescent="0.3">
      <c r="B55" s="4" t="s">
        <v>14</v>
      </c>
      <c r="C55" s="5">
        <v>10</v>
      </c>
      <c r="D55" s="6" t="s">
        <v>63</v>
      </c>
      <c r="E55" s="4" t="s">
        <v>42</v>
      </c>
      <c r="F55" s="4" t="s">
        <v>17</v>
      </c>
      <c r="G55" s="7">
        <v>4</v>
      </c>
      <c r="H55" s="1">
        <v>20000000</v>
      </c>
      <c r="I55" s="4">
        <v>3</v>
      </c>
      <c r="J55" s="8">
        <v>1.3888888888888889E-3</v>
      </c>
      <c r="K55" s="4" t="s">
        <v>18</v>
      </c>
      <c r="L55" s="4" t="s">
        <v>51</v>
      </c>
      <c r="M55" s="4" t="s">
        <v>35</v>
      </c>
      <c r="N55" s="4" t="s">
        <v>36</v>
      </c>
      <c r="O55" s="4" t="s">
        <v>58</v>
      </c>
    </row>
    <row r="56" spans="2:15" ht="21" customHeight="1" x14ac:dyDescent="0.3">
      <c r="B56" s="11" t="s">
        <v>14</v>
      </c>
      <c r="C56" s="12">
        <v>5</v>
      </c>
      <c r="D56" s="13" t="s">
        <v>63</v>
      </c>
      <c r="E56" s="11" t="s">
        <v>42</v>
      </c>
      <c r="F56" s="11" t="s">
        <v>24</v>
      </c>
      <c r="G56" s="14">
        <v>1</v>
      </c>
      <c r="H56" s="15">
        <v>7000000</v>
      </c>
      <c r="I56" s="11">
        <v>2</v>
      </c>
      <c r="J56" s="16">
        <v>1.3888888888888889E-3</v>
      </c>
      <c r="K56" s="11" t="s">
        <v>18</v>
      </c>
      <c r="L56" s="11" t="s">
        <v>60</v>
      </c>
      <c r="M56" s="11" t="s">
        <v>52</v>
      </c>
      <c r="N56" s="11" t="s">
        <v>27</v>
      </c>
      <c r="O56" s="11" t="s">
        <v>56</v>
      </c>
    </row>
    <row r="57" spans="2:15" ht="21" customHeight="1" x14ac:dyDescent="0.3">
      <c r="B57" s="4" t="s">
        <v>14</v>
      </c>
      <c r="C57" s="5">
        <v>12</v>
      </c>
      <c r="D57" s="6" t="s">
        <v>64</v>
      </c>
      <c r="E57" s="4" t="s">
        <v>30</v>
      </c>
      <c r="F57" s="4" t="s">
        <v>24</v>
      </c>
      <c r="G57" s="7">
        <v>2</v>
      </c>
      <c r="H57" s="1">
        <v>38000000</v>
      </c>
      <c r="I57" s="4">
        <v>3</v>
      </c>
      <c r="J57" s="8">
        <v>1.3888888888888889E-3</v>
      </c>
      <c r="K57" s="4" t="s">
        <v>50</v>
      </c>
      <c r="L57" s="4" t="s">
        <v>43</v>
      </c>
      <c r="M57" s="4" t="s">
        <v>44</v>
      </c>
      <c r="N57" s="4" t="s">
        <v>21</v>
      </c>
      <c r="O57" s="4" t="s">
        <v>57</v>
      </c>
    </row>
    <row r="58" spans="2:15" ht="21" customHeight="1" x14ac:dyDescent="0.3">
      <c r="B58" s="11" t="s">
        <v>14</v>
      </c>
      <c r="C58" s="12">
        <v>26</v>
      </c>
      <c r="D58" s="13" t="s">
        <v>23</v>
      </c>
      <c r="E58" s="11" t="s">
        <v>16</v>
      </c>
      <c r="F58" s="11" t="s">
        <v>46</v>
      </c>
      <c r="G58" s="14">
        <v>4</v>
      </c>
      <c r="H58" s="15">
        <v>20000000</v>
      </c>
      <c r="I58" s="11">
        <v>3</v>
      </c>
      <c r="J58" s="16">
        <v>1.3888888888888889E-3</v>
      </c>
      <c r="K58" s="11" t="s">
        <v>65</v>
      </c>
      <c r="L58" s="11" t="s">
        <v>19</v>
      </c>
      <c r="M58" s="11" t="s">
        <v>20</v>
      </c>
      <c r="N58" s="11" t="s">
        <v>39</v>
      </c>
      <c r="O58" s="11" t="s">
        <v>40</v>
      </c>
    </row>
    <row r="59" spans="2:15" ht="21" customHeight="1" x14ac:dyDescent="0.3">
      <c r="B59" s="4" t="s">
        <v>74</v>
      </c>
      <c r="C59" s="5">
        <v>11</v>
      </c>
      <c r="D59" s="6" t="s">
        <v>62</v>
      </c>
      <c r="E59" s="4" t="s">
        <v>34</v>
      </c>
      <c r="F59" s="4" t="s">
        <v>17</v>
      </c>
      <c r="G59" s="7">
        <v>0</v>
      </c>
      <c r="H59" s="1">
        <v>0</v>
      </c>
      <c r="I59" s="4">
        <v>1</v>
      </c>
      <c r="J59" s="8">
        <v>1.3888888888888889E-3</v>
      </c>
      <c r="K59" s="4"/>
      <c r="L59" s="4"/>
      <c r="M59" s="4" t="s">
        <v>32</v>
      </c>
      <c r="N59" s="4" t="s">
        <v>21</v>
      </c>
      <c r="O59" s="4" t="s">
        <v>66</v>
      </c>
    </row>
    <row r="60" spans="2:15" ht="21" customHeight="1" x14ac:dyDescent="0.3">
      <c r="B60" s="11" t="s">
        <v>74</v>
      </c>
      <c r="C60" s="12">
        <v>14</v>
      </c>
      <c r="D60" s="13" t="s">
        <v>15</v>
      </c>
      <c r="E60" s="11" t="s">
        <v>16</v>
      </c>
      <c r="F60" s="11" t="s">
        <v>24</v>
      </c>
      <c r="G60" s="14">
        <v>0</v>
      </c>
      <c r="H60" s="15">
        <v>0</v>
      </c>
      <c r="I60" s="11">
        <v>5</v>
      </c>
      <c r="J60" s="16">
        <v>1.3888888888888889E-3</v>
      </c>
      <c r="K60" s="11"/>
      <c r="L60" s="11"/>
      <c r="M60" s="11" t="s">
        <v>35</v>
      </c>
      <c r="N60" s="11" t="s">
        <v>27</v>
      </c>
      <c r="O60" s="11" t="s">
        <v>56</v>
      </c>
    </row>
    <row r="61" spans="2:15" ht="21" customHeight="1" x14ac:dyDescent="0.3">
      <c r="B61" s="4" t="s">
        <v>74</v>
      </c>
      <c r="C61" s="5">
        <v>1</v>
      </c>
      <c r="D61" s="6" t="s">
        <v>63</v>
      </c>
      <c r="E61" s="4" t="s">
        <v>16</v>
      </c>
      <c r="F61" s="4" t="s">
        <v>24</v>
      </c>
      <c r="G61" s="7">
        <v>0</v>
      </c>
      <c r="H61" s="1">
        <v>0</v>
      </c>
      <c r="I61" s="4">
        <v>1</v>
      </c>
      <c r="J61" s="8">
        <v>1.3888888888888889E-3</v>
      </c>
      <c r="K61" s="4"/>
      <c r="L61" s="4"/>
      <c r="M61" s="4" t="s">
        <v>20</v>
      </c>
      <c r="N61" s="4" t="s">
        <v>36</v>
      </c>
      <c r="O61" s="4" t="s">
        <v>58</v>
      </c>
    </row>
    <row r="62" spans="2:15" ht="21" customHeight="1" x14ac:dyDescent="0.3">
      <c r="B62" s="11" t="s">
        <v>74</v>
      </c>
      <c r="C62" s="12">
        <v>12</v>
      </c>
      <c r="D62" s="13" t="s">
        <v>64</v>
      </c>
      <c r="E62" s="11" t="s">
        <v>30</v>
      </c>
      <c r="F62" s="11" t="s">
        <v>17</v>
      </c>
      <c r="G62" s="14">
        <v>0</v>
      </c>
      <c r="H62" s="15">
        <v>0</v>
      </c>
      <c r="I62" s="11">
        <v>2</v>
      </c>
      <c r="J62" s="16">
        <v>1.3888888888888889E-3</v>
      </c>
      <c r="K62" s="11"/>
      <c r="L62" s="11"/>
      <c r="M62" s="11" t="s">
        <v>35</v>
      </c>
      <c r="N62" s="11" t="s">
        <v>27</v>
      </c>
      <c r="O62" s="11" t="s">
        <v>28</v>
      </c>
    </row>
    <row r="63" spans="2:15" ht="21" customHeight="1" x14ac:dyDescent="0.3">
      <c r="B63" s="4" t="s">
        <v>74</v>
      </c>
      <c r="C63" s="5">
        <v>7</v>
      </c>
      <c r="D63" s="6" t="s">
        <v>41</v>
      </c>
      <c r="E63" s="4" t="s">
        <v>53</v>
      </c>
      <c r="F63" s="4" t="s">
        <v>24</v>
      </c>
      <c r="G63" s="7">
        <v>0</v>
      </c>
      <c r="H63" s="1">
        <v>0</v>
      </c>
      <c r="I63" s="4">
        <v>6</v>
      </c>
      <c r="J63" s="8">
        <v>1.3888888888888889E-3</v>
      </c>
      <c r="K63" s="4"/>
      <c r="L63" s="4"/>
      <c r="M63" s="4" t="s">
        <v>47</v>
      </c>
      <c r="N63" s="4" t="s">
        <v>39</v>
      </c>
      <c r="O63" s="4" t="s">
        <v>71</v>
      </c>
    </row>
    <row r="64" spans="2:15" ht="21" customHeight="1" x14ac:dyDescent="0.3">
      <c r="B64" s="11" t="s">
        <v>74</v>
      </c>
      <c r="C64" s="12">
        <v>5</v>
      </c>
      <c r="D64" s="13" t="s">
        <v>41</v>
      </c>
      <c r="E64" s="11" t="s">
        <v>34</v>
      </c>
      <c r="F64" s="11" t="s">
        <v>46</v>
      </c>
      <c r="G64" s="14">
        <v>0</v>
      </c>
      <c r="H64" s="15">
        <v>0</v>
      </c>
      <c r="I64" s="11">
        <v>4</v>
      </c>
      <c r="J64" s="16">
        <v>1.3888888888888889E-3</v>
      </c>
      <c r="K64" s="11"/>
      <c r="L64" s="11"/>
      <c r="M64" s="11" t="s">
        <v>55</v>
      </c>
      <c r="N64" s="11" t="s">
        <v>27</v>
      </c>
      <c r="O64" s="11" t="s">
        <v>28</v>
      </c>
    </row>
    <row r="65" spans="2:15" ht="21" customHeight="1" x14ac:dyDescent="0.3">
      <c r="B65" s="4" t="s">
        <v>74</v>
      </c>
      <c r="C65" s="5">
        <v>23</v>
      </c>
      <c r="D65" s="6" t="s">
        <v>48</v>
      </c>
      <c r="E65" s="4" t="s">
        <v>16</v>
      </c>
      <c r="F65" s="4" t="s">
        <v>24</v>
      </c>
      <c r="G65" s="7">
        <v>0</v>
      </c>
      <c r="H65" s="1">
        <v>0</v>
      </c>
      <c r="I65" s="4">
        <v>3</v>
      </c>
      <c r="J65" s="8">
        <v>1.3888888888888889E-3</v>
      </c>
      <c r="K65" s="4"/>
      <c r="L65" s="4"/>
      <c r="M65" s="4" t="s">
        <v>20</v>
      </c>
      <c r="N65" s="4" t="s">
        <v>39</v>
      </c>
      <c r="O65" s="4" t="s">
        <v>40</v>
      </c>
    </row>
    <row r="66" spans="2:15" ht="21" customHeight="1" x14ac:dyDescent="0.3">
      <c r="B66" s="11" t="s">
        <v>74</v>
      </c>
      <c r="C66" s="12">
        <v>19</v>
      </c>
      <c r="D66" s="13" t="s">
        <v>48</v>
      </c>
      <c r="E66" s="11" t="s">
        <v>34</v>
      </c>
      <c r="F66" s="11" t="s">
        <v>24</v>
      </c>
      <c r="G66" s="14">
        <v>0</v>
      </c>
      <c r="H66" s="15">
        <v>0</v>
      </c>
      <c r="I66" s="11">
        <v>1</v>
      </c>
      <c r="J66" s="16">
        <v>1.3888888888888889E-3</v>
      </c>
      <c r="K66" s="11"/>
      <c r="L66" s="11"/>
      <c r="M66" s="11" t="s">
        <v>52</v>
      </c>
      <c r="N66" s="11" t="s">
        <v>21</v>
      </c>
      <c r="O66" s="11" t="s">
        <v>67</v>
      </c>
    </row>
    <row r="67" spans="2:15" ht="21" customHeight="1" x14ac:dyDescent="0.3">
      <c r="B67" s="4" t="s">
        <v>74</v>
      </c>
      <c r="C67" s="5">
        <v>10</v>
      </c>
      <c r="D67" s="6" t="s">
        <v>73</v>
      </c>
      <c r="E67" s="4" t="s">
        <v>53</v>
      </c>
      <c r="F67" s="4" t="s">
        <v>17</v>
      </c>
      <c r="G67" s="7">
        <v>0</v>
      </c>
      <c r="H67" s="1">
        <v>0</v>
      </c>
      <c r="I67" s="4">
        <v>1</v>
      </c>
      <c r="J67" s="8">
        <v>1.3888888888888889E-3</v>
      </c>
      <c r="K67" s="4"/>
      <c r="L67" s="4"/>
      <c r="M67" s="4" t="s">
        <v>52</v>
      </c>
      <c r="N67" s="4" t="s">
        <v>21</v>
      </c>
      <c r="O67" s="4" t="s">
        <v>45</v>
      </c>
    </row>
    <row r="68" spans="2:15" ht="21" customHeight="1" x14ac:dyDescent="0.3">
      <c r="B68" s="11" t="s">
        <v>74</v>
      </c>
      <c r="C68" s="12">
        <v>11</v>
      </c>
      <c r="D68" s="13" t="s">
        <v>62</v>
      </c>
      <c r="E68" s="11" t="s">
        <v>34</v>
      </c>
      <c r="F68" s="11" t="s">
        <v>17</v>
      </c>
      <c r="G68" s="14">
        <v>0</v>
      </c>
      <c r="H68" s="15">
        <v>0</v>
      </c>
      <c r="I68" s="11">
        <v>1</v>
      </c>
      <c r="J68" s="16">
        <v>1.3888888888888889E-3</v>
      </c>
      <c r="K68" s="11"/>
      <c r="L68" s="11"/>
      <c r="M68" s="11" t="s">
        <v>32</v>
      </c>
      <c r="N68" s="11" t="s">
        <v>21</v>
      </c>
      <c r="O68" s="11" t="s">
        <v>66</v>
      </c>
    </row>
    <row r="69" spans="2:15" ht="21" customHeight="1" x14ac:dyDescent="0.3">
      <c r="B69" s="4" t="s">
        <v>74</v>
      </c>
      <c r="C69" s="5">
        <v>14</v>
      </c>
      <c r="D69" s="6" t="s">
        <v>15</v>
      </c>
      <c r="E69" s="4" t="s">
        <v>16</v>
      </c>
      <c r="F69" s="4" t="s">
        <v>24</v>
      </c>
      <c r="G69" s="7">
        <v>0</v>
      </c>
      <c r="H69" s="1">
        <v>0</v>
      </c>
      <c r="I69" s="4">
        <v>5</v>
      </c>
      <c r="J69" s="8">
        <v>1.3888888888888889E-3</v>
      </c>
      <c r="K69" s="4"/>
      <c r="L69" s="4"/>
      <c r="M69" s="4" t="s">
        <v>35</v>
      </c>
      <c r="N69" s="4" t="s">
        <v>27</v>
      </c>
      <c r="O69" s="4" t="s">
        <v>56</v>
      </c>
    </row>
    <row r="70" spans="2:15" ht="21" customHeight="1" x14ac:dyDescent="0.3">
      <c r="B70" s="11" t="s">
        <v>74</v>
      </c>
      <c r="C70" s="12">
        <v>1</v>
      </c>
      <c r="D70" s="13" t="s">
        <v>63</v>
      </c>
      <c r="E70" s="11" t="s">
        <v>16</v>
      </c>
      <c r="F70" s="11" t="s">
        <v>24</v>
      </c>
      <c r="G70" s="14">
        <v>0</v>
      </c>
      <c r="H70" s="15">
        <v>0</v>
      </c>
      <c r="I70" s="11">
        <v>1</v>
      </c>
      <c r="J70" s="16">
        <v>1.3888888888888889E-3</v>
      </c>
      <c r="K70" s="11"/>
      <c r="L70" s="11"/>
      <c r="M70" s="11" t="s">
        <v>20</v>
      </c>
      <c r="N70" s="11" t="s">
        <v>36</v>
      </c>
      <c r="O70" s="11" t="s">
        <v>58</v>
      </c>
    </row>
    <row r="71" spans="2:15" ht="21" customHeight="1" x14ac:dyDescent="0.3">
      <c r="B71" s="4" t="s">
        <v>74</v>
      </c>
      <c r="C71" s="5">
        <v>12</v>
      </c>
      <c r="D71" s="6" t="s">
        <v>64</v>
      </c>
      <c r="E71" s="4" t="s">
        <v>30</v>
      </c>
      <c r="F71" s="4" t="s">
        <v>17</v>
      </c>
      <c r="G71" s="7">
        <v>0</v>
      </c>
      <c r="H71" s="1">
        <v>0</v>
      </c>
      <c r="I71" s="4">
        <v>2</v>
      </c>
      <c r="J71" s="8">
        <v>1.3888888888888889E-3</v>
      </c>
      <c r="K71" s="4"/>
      <c r="L71" s="4"/>
      <c r="M71" s="4" t="s">
        <v>35</v>
      </c>
      <c r="N71" s="4" t="s">
        <v>27</v>
      </c>
      <c r="O71" s="4" t="s">
        <v>28</v>
      </c>
    </row>
    <row r="72" spans="2:15" ht="21" customHeight="1" x14ac:dyDescent="0.3">
      <c r="B72" s="11" t="s">
        <v>14</v>
      </c>
      <c r="C72" s="12">
        <v>1</v>
      </c>
      <c r="D72" s="13" t="s">
        <v>63</v>
      </c>
      <c r="E72" s="11" t="s">
        <v>34</v>
      </c>
      <c r="F72" s="11" t="s">
        <v>24</v>
      </c>
      <c r="G72" s="14">
        <v>5</v>
      </c>
      <c r="H72" s="15">
        <v>25000000</v>
      </c>
      <c r="I72" s="11">
        <v>1</v>
      </c>
      <c r="J72" s="16">
        <v>1.3888888888888889E-3</v>
      </c>
      <c r="K72" s="11" t="s">
        <v>18</v>
      </c>
      <c r="L72" s="11" t="s">
        <v>51</v>
      </c>
      <c r="M72" s="11" t="s">
        <v>32</v>
      </c>
      <c r="N72" s="11" t="s">
        <v>39</v>
      </c>
      <c r="O72" s="11" t="s">
        <v>71</v>
      </c>
    </row>
    <row r="73" spans="2:15" ht="21" customHeight="1" x14ac:dyDescent="0.3">
      <c r="B73" s="4" t="s">
        <v>14</v>
      </c>
      <c r="C73" s="5">
        <v>12</v>
      </c>
      <c r="D73" s="6" t="s">
        <v>64</v>
      </c>
      <c r="E73" s="4" t="s">
        <v>16</v>
      </c>
      <c r="F73" s="4" t="s">
        <v>46</v>
      </c>
      <c r="G73" s="7">
        <v>2</v>
      </c>
      <c r="H73" s="1">
        <v>12000000</v>
      </c>
      <c r="I73" s="4">
        <v>2</v>
      </c>
      <c r="J73" s="8">
        <v>1.3888888888888889E-3</v>
      </c>
      <c r="K73" s="4" t="s">
        <v>18</v>
      </c>
      <c r="L73" s="4" t="s">
        <v>19</v>
      </c>
      <c r="M73" s="4" t="s">
        <v>32</v>
      </c>
      <c r="N73" s="4" t="s">
        <v>27</v>
      </c>
      <c r="O73" s="4" t="s">
        <v>28</v>
      </c>
    </row>
    <row r="74" spans="2:15" ht="21" customHeight="1" x14ac:dyDescent="0.3">
      <c r="B74" s="11" t="s">
        <v>14</v>
      </c>
      <c r="C74" s="12">
        <v>12</v>
      </c>
      <c r="D74" s="13" t="s">
        <v>64</v>
      </c>
      <c r="E74" s="11" t="s">
        <v>16</v>
      </c>
      <c r="F74" s="11" t="s">
        <v>46</v>
      </c>
      <c r="G74" s="14">
        <v>3</v>
      </c>
      <c r="H74" s="15">
        <v>15000000</v>
      </c>
      <c r="I74" s="11">
        <v>5</v>
      </c>
      <c r="J74" s="16">
        <v>1.3888888888888889E-3</v>
      </c>
      <c r="K74" s="11" t="s">
        <v>18</v>
      </c>
      <c r="L74" s="11" t="s">
        <v>43</v>
      </c>
      <c r="M74" s="11" t="s">
        <v>52</v>
      </c>
      <c r="N74" s="11" t="s">
        <v>21</v>
      </c>
      <c r="O74" s="11" t="s">
        <v>67</v>
      </c>
    </row>
    <row r="75" spans="2:15" ht="21" customHeight="1" x14ac:dyDescent="0.3">
      <c r="B75" s="4" t="s">
        <v>14</v>
      </c>
      <c r="C75" s="5">
        <v>10</v>
      </c>
      <c r="D75" s="6" t="s">
        <v>23</v>
      </c>
      <c r="E75" s="4" t="s">
        <v>16</v>
      </c>
      <c r="F75" s="4" t="s">
        <v>72</v>
      </c>
      <c r="G75" s="7">
        <v>2</v>
      </c>
      <c r="H75" s="1">
        <v>12000000</v>
      </c>
      <c r="I75" s="4">
        <v>4</v>
      </c>
      <c r="J75" s="8">
        <v>1.3888888888888889E-3</v>
      </c>
      <c r="K75" s="4" t="s">
        <v>18</v>
      </c>
      <c r="L75" s="4" t="s">
        <v>54</v>
      </c>
      <c r="M75" s="4" t="s">
        <v>35</v>
      </c>
      <c r="N75" s="4" t="s">
        <v>27</v>
      </c>
      <c r="O75" s="4" t="s">
        <v>33</v>
      </c>
    </row>
    <row r="76" spans="2:15" ht="21" customHeight="1" x14ac:dyDescent="0.3">
      <c r="B76" s="11" t="s">
        <v>14</v>
      </c>
      <c r="C76" s="12">
        <v>23</v>
      </c>
      <c r="D76" s="13" t="s">
        <v>29</v>
      </c>
      <c r="E76" s="11" t="s">
        <v>16</v>
      </c>
      <c r="F76" s="11" t="s">
        <v>46</v>
      </c>
      <c r="G76" s="14">
        <v>5</v>
      </c>
      <c r="H76" s="15">
        <v>20000000</v>
      </c>
      <c r="I76" s="11">
        <v>1</v>
      </c>
      <c r="J76" s="16">
        <v>1.3888888888888889E-3</v>
      </c>
      <c r="K76" s="11" t="s">
        <v>18</v>
      </c>
      <c r="L76" s="11" t="s">
        <v>51</v>
      </c>
      <c r="M76" s="11" t="s">
        <v>32</v>
      </c>
      <c r="N76" s="11" t="s">
        <v>36</v>
      </c>
      <c r="O76" s="11" t="s">
        <v>69</v>
      </c>
    </row>
    <row r="77" spans="2:15" ht="21" customHeight="1" x14ac:dyDescent="0.3">
      <c r="B77" s="4" t="s">
        <v>14</v>
      </c>
      <c r="C77" s="5">
        <v>8</v>
      </c>
      <c r="D77" s="6" t="s">
        <v>29</v>
      </c>
      <c r="E77" s="4" t="s">
        <v>34</v>
      </c>
      <c r="F77" s="4" t="s">
        <v>17</v>
      </c>
      <c r="G77" s="7">
        <v>5</v>
      </c>
      <c r="H77" s="1">
        <v>21000000</v>
      </c>
      <c r="I77" s="4">
        <v>4</v>
      </c>
      <c r="J77" s="8">
        <v>1.3888888888888889E-3</v>
      </c>
      <c r="K77" s="4" t="s">
        <v>18</v>
      </c>
      <c r="L77" s="4" t="s">
        <v>19</v>
      </c>
      <c r="M77" s="4" t="s">
        <v>47</v>
      </c>
      <c r="N77" s="4" t="s">
        <v>21</v>
      </c>
      <c r="O77" s="4" t="s">
        <v>70</v>
      </c>
    </row>
    <row r="78" spans="2:15" ht="21" customHeight="1" x14ac:dyDescent="0.3">
      <c r="B78" s="11" t="s">
        <v>14</v>
      </c>
      <c r="C78" s="12">
        <v>22</v>
      </c>
      <c r="D78" s="13" t="s">
        <v>29</v>
      </c>
      <c r="E78" s="11" t="s">
        <v>16</v>
      </c>
      <c r="F78" s="11" t="s">
        <v>46</v>
      </c>
      <c r="G78" s="14">
        <v>4</v>
      </c>
      <c r="H78" s="15">
        <v>15000000</v>
      </c>
      <c r="I78" s="11">
        <v>3</v>
      </c>
      <c r="J78" s="16">
        <v>1.3888888888888889E-3</v>
      </c>
      <c r="K78" s="11" t="s">
        <v>18</v>
      </c>
      <c r="L78" s="11" t="s">
        <v>43</v>
      </c>
      <c r="M78" s="11" t="s">
        <v>47</v>
      </c>
      <c r="N78" s="11" t="s">
        <v>27</v>
      </c>
      <c r="O78" s="11" t="s">
        <v>33</v>
      </c>
    </row>
    <row r="79" spans="2:15" ht="21" customHeight="1" x14ac:dyDescent="0.3">
      <c r="B79" s="4" t="s">
        <v>14</v>
      </c>
      <c r="C79" s="5">
        <v>30</v>
      </c>
      <c r="D79" s="6" t="s">
        <v>29</v>
      </c>
      <c r="E79" s="4" t="s">
        <v>16</v>
      </c>
      <c r="F79" s="4" t="s">
        <v>49</v>
      </c>
      <c r="G79" s="7">
        <v>2</v>
      </c>
      <c r="H79" s="1">
        <v>12000000</v>
      </c>
      <c r="I79" s="4">
        <v>3</v>
      </c>
      <c r="J79" s="8">
        <v>1.3888888888888889E-3</v>
      </c>
      <c r="K79" s="4" t="s">
        <v>18</v>
      </c>
      <c r="L79" s="4" t="s">
        <v>51</v>
      </c>
      <c r="M79" s="4" t="s">
        <v>52</v>
      </c>
      <c r="N79" s="4" t="s">
        <v>21</v>
      </c>
      <c r="O79" s="4" t="s">
        <v>67</v>
      </c>
    </row>
    <row r="80" spans="2:15" ht="21" customHeight="1" x14ac:dyDescent="0.3">
      <c r="B80" s="11" t="s">
        <v>14</v>
      </c>
      <c r="C80" s="12">
        <v>8</v>
      </c>
      <c r="D80" s="13" t="s">
        <v>41</v>
      </c>
      <c r="E80" s="11" t="s">
        <v>16</v>
      </c>
      <c r="F80" s="11" t="s">
        <v>24</v>
      </c>
      <c r="G80" s="14">
        <v>4</v>
      </c>
      <c r="H80" s="15">
        <v>20000000</v>
      </c>
      <c r="I80" s="11">
        <v>3</v>
      </c>
      <c r="J80" s="16">
        <v>1.3888888888888889E-3</v>
      </c>
      <c r="K80" s="11" t="s">
        <v>18</v>
      </c>
      <c r="L80" s="11" t="s">
        <v>68</v>
      </c>
      <c r="M80" s="11" t="s">
        <v>47</v>
      </c>
      <c r="N80" s="11" t="s">
        <v>36</v>
      </c>
      <c r="O80" s="11" t="s">
        <v>58</v>
      </c>
    </row>
    <row r="81" spans="2:15" ht="21" customHeight="1" x14ac:dyDescent="0.3">
      <c r="B81" s="4" t="s">
        <v>14</v>
      </c>
      <c r="C81" s="5">
        <v>30</v>
      </c>
      <c r="D81" s="6" t="s">
        <v>41</v>
      </c>
      <c r="E81" s="4" t="s">
        <v>42</v>
      </c>
      <c r="F81" s="4" t="s">
        <v>46</v>
      </c>
      <c r="G81" s="7">
        <v>3</v>
      </c>
      <c r="H81" s="1">
        <v>15000000</v>
      </c>
      <c r="I81" s="4">
        <v>1</v>
      </c>
      <c r="J81" s="8">
        <v>1.3888888888888889E-3</v>
      </c>
      <c r="K81" s="4" t="s">
        <v>18</v>
      </c>
      <c r="L81" s="4" t="s">
        <v>19</v>
      </c>
      <c r="M81" s="4" t="s">
        <v>26</v>
      </c>
      <c r="N81" s="4" t="s">
        <v>27</v>
      </c>
      <c r="O81" s="4" t="s">
        <v>28</v>
      </c>
    </row>
    <row r="82" spans="2:15" ht="21" customHeight="1" x14ac:dyDescent="0.3">
      <c r="B82" s="11" t="s">
        <v>14</v>
      </c>
      <c r="C82" s="12">
        <v>9</v>
      </c>
      <c r="D82" s="13" t="s">
        <v>41</v>
      </c>
      <c r="E82" s="11" t="s">
        <v>30</v>
      </c>
      <c r="F82" s="11" t="s">
        <v>46</v>
      </c>
      <c r="G82" s="14">
        <v>3</v>
      </c>
      <c r="H82" s="15">
        <v>15000000</v>
      </c>
      <c r="I82" s="11">
        <v>3</v>
      </c>
      <c r="J82" s="16">
        <v>1.3888888888888889E-3</v>
      </c>
      <c r="K82" s="11" t="s">
        <v>18</v>
      </c>
      <c r="L82" s="11" t="s">
        <v>43</v>
      </c>
      <c r="M82" s="11" t="s">
        <v>55</v>
      </c>
      <c r="N82" s="11" t="s">
        <v>27</v>
      </c>
      <c r="O82" s="11" t="s">
        <v>75</v>
      </c>
    </row>
    <row r="83" spans="2:15" ht="21" customHeight="1" x14ac:dyDescent="0.3">
      <c r="B83" s="4" t="s">
        <v>14</v>
      </c>
      <c r="C83" s="5">
        <v>11</v>
      </c>
      <c r="D83" s="6" t="s">
        <v>41</v>
      </c>
      <c r="E83" s="4" t="s">
        <v>42</v>
      </c>
      <c r="F83" s="4" t="s">
        <v>46</v>
      </c>
      <c r="G83" s="7">
        <v>3</v>
      </c>
      <c r="H83" s="1">
        <v>15000000</v>
      </c>
      <c r="I83" s="4">
        <v>2</v>
      </c>
      <c r="J83" s="8">
        <v>1.3888888888888889E-3</v>
      </c>
      <c r="K83" s="4" t="s">
        <v>18</v>
      </c>
      <c r="L83" s="4" t="s">
        <v>60</v>
      </c>
      <c r="M83" s="4" t="s">
        <v>55</v>
      </c>
      <c r="N83" s="4" t="s">
        <v>27</v>
      </c>
      <c r="O83" s="4" t="s">
        <v>56</v>
      </c>
    </row>
    <row r="84" spans="2:15" ht="21" customHeight="1" x14ac:dyDescent="0.3">
      <c r="B84" s="11" t="s">
        <v>14</v>
      </c>
      <c r="C84" s="12">
        <v>26</v>
      </c>
      <c r="D84" s="13" t="s">
        <v>41</v>
      </c>
      <c r="E84" s="11" t="s">
        <v>16</v>
      </c>
      <c r="F84" s="11" t="s">
        <v>24</v>
      </c>
      <c r="G84" s="14">
        <v>1</v>
      </c>
      <c r="H84" s="15">
        <v>7000000</v>
      </c>
      <c r="I84" s="11">
        <v>2</v>
      </c>
      <c r="J84" s="16">
        <v>1.3888888888888889E-3</v>
      </c>
      <c r="K84" s="11" t="s">
        <v>18</v>
      </c>
      <c r="L84" s="11" t="s">
        <v>68</v>
      </c>
      <c r="M84" s="11" t="s">
        <v>55</v>
      </c>
      <c r="N84" s="11" t="s">
        <v>21</v>
      </c>
      <c r="O84" s="11" t="s">
        <v>66</v>
      </c>
    </row>
    <row r="85" spans="2:15" ht="21" customHeight="1" x14ac:dyDescent="0.3">
      <c r="B85" s="4" t="s">
        <v>14</v>
      </c>
      <c r="C85" s="5">
        <v>22</v>
      </c>
      <c r="D85" s="6" t="s">
        <v>48</v>
      </c>
      <c r="E85" s="4" t="s">
        <v>34</v>
      </c>
      <c r="F85" s="4" t="s">
        <v>24</v>
      </c>
      <c r="G85" s="7">
        <v>2</v>
      </c>
      <c r="H85" s="1">
        <v>38000000</v>
      </c>
      <c r="I85" s="4">
        <v>4</v>
      </c>
      <c r="J85" s="8">
        <v>1.3888888888888889E-3</v>
      </c>
      <c r="K85" s="4" t="s">
        <v>50</v>
      </c>
      <c r="L85" s="4" t="s">
        <v>60</v>
      </c>
      <c r="M85" s="4" t="s">
        <v>35</v>
      </c>
      <c r="N85" s="4" t="s">
        <v>39</v>
      </c>
      <c r="O85" s="4" t="s">
        <v>71</v>
      </c>
    </row>
    <row r="86" spans="2:15" ht="21" customHeight="1" x14ac:dyDescent="0.3">
      <c r="B86" s="11" t="s">
        <v>14</v>
      </c>
      <c r="C86" s="12">
        <v>3</v>
      </c>
      <c r="D86" s="13" t="s">
        <v>48</v>
      </c>
      <c r="E86" s="11" t="s">
        <v>53</v>
      </c>
      <c r="F86" s="11" t="s">
        <v>24</v>
      </c>
      <c r="G86" s="14">
        <v>1</v>
      </c>
      <c r="H86" s="15">
        <v>19000000</v>
      </c>
      <c r="I86" s="11">
        <v>1</v>
      </c>
      <c r="J86" s="16">
        <v>1.3888888888888889E-3</v>
      </c>
      <c r="K86" s="11" t="s">
        <v>50</v>
      </c>
      <c r="L86" s="11" t="s">
        <v>43</v>
      </c>
      <c r="M86" s="11" t="s">
        <v>20</v>
      </c>
      <c r="N86" s="11" t="s">
        <v>27</v>
      </c>
      <c r="O86" s="11" t="s">
        <v>33</v>
      </c>
    </row>
    <row r="87" spans="2:15" ht="21" customHeight="1" x14ac:dyDescent="0.3">
      <c r="B87" s="4" t="s">
        <v>14</v>
      </c>
      <c r="C87" s="5">
        <v>8</v>
      </c>
      <c r="D87" s="6" t="s">
        <v>48</v>
      </c>
      <c r="E87" s="4" t="s">
        <v>53</v>
      </c>
      <c r="F87" s="4" t="s">
        <v>17</v>
      </c>
      <c r="G87" s="7">
        <v>2</v>
      </c>
      <c r="H87" s="1">
        <v>38000000</v>
      </c>
      <c r="I87" s="4">
        <v>1</v>
      </c>
      <c r="J87" s="8">
        <v>1.3888888888888889E-3</v>
      </c>
      <c r="K87" s="4" t="s">
        <v>50</v>
      </c>
      <c r="L87" s="4" t="s">
        <v>54</v>
      </c>
      <c r="M87" s="4" t="s">
        <v>26</v>
      </c>
      <c r="N87" s="4" t="s">
        <v>21</v>
      </c>
      <c r="O87" s="4" t="s">
        <v>22</v>
      </c>
    </row>
    <row r="88" spans="2:15" ht="21" customHeight="1" x14ac:dyDescent="0.3">
      <c r="B88" s="11" t="s">
        <v>14</v>
      </c>
      <c r="C88" s="12">
        <v>19</v>
      </c>
      <c r="D88" s="13" t="s">
        <v>48</v>
      </c>
      <c r="E88" s="11" t="s">
        <v>30</v>
      </c>
      <c r="F88" s="11" t="s">
        <v>24</v>
      </c>
      <c r="G88" s="14">
        <v>2</v>
      </c>
      <c r="H88" s="15">
        <v>12000000</v>
      </c>
      <c r="I88" s="11">
        <v>1</v>
      </c>
      <c r="J88" s="16">
        <v>1.3888888888888889E-3</v>
      </c>
      <c r="K88" s="11" t="s">
        <v>18</v>
      </c>
      <c r="L88" s="11" t="s">
        <v>19</v>
      </c>
      <c r="M88" s="11" t="s">
        <v>20</v>
      </c>
      <c r="N88" s="11" t="s">
        <v>39</v>
      </c>
      <c r="O88" s="11" t="s">
        <v>71</v>
      </c>
    </row>
    <row r="89" spans="2:15" ht="21" customHeight="1" x14ac:dyDescent="0.3">
      <c r="B89" s="4" t="s">
        <v>14</v>
      </c>
      <c r="C89" s="5">
        <v>1</v>
      </c>
      <c r="D89" s="6" t="s">
        <v>63</v>
      </c>
      <c r="E89" s="4" t="s">
        <v>34</v>
      </c>
      <c r="F89" s="4" t="s">
        <v>24</v>
      </c>
      <c r="G89" s="7">
        <v>5</v>
      </c>
      <c r="H89" s="1">
        <v>25000000</v>
      </c>
      <c r="I89" s="4">
        <v>1</v>
      </c>
      <c r="J89" s="8">
        <v>1.3888888888888889E-3</v>
      </c>
      <c r="K89" s="4" t="s">
        <v>18</v>
      </c>
      <c r="L89" s="4" t="s">
        <v>51</v>
      </c>
      <c r="M89" s="4" t="s">
        <v>32</v>
      </c>
      <c r="N89" s="4" t="s">
        <v>39</v>
      </c>
      <c r="O89" s="4" t="s">
        <v>71</v>
      </c>
    </row>
    <row r="90" spans="2:15" ht="21" customHeight="1" x14ac:dyDescent="0.3">
      <c r="B90" s="11" t="s">
        <v>14</v>
      </c>
      <c r="C90" s="12">
        <v>12</v>
      </c>
      <c r="D90" s="13" t="s">
        <v>64</v>
      </c>
      <c r="E90" s="11" t="s">
        <v>16</v>
      </c>
      <c r="F90" s="11" t="s">
        <v>46</v>
      </c>
      <c r="G90" s="14">
        <v>2</v>
      </c>
      <c r="H90" s="15">
        <v>12000000</v>
      </c>
      <c r="I90" s="11">
        <v>2</v>
      </c>
      <c r="J90" s="16">
        <v>1.3888888888888889E-3</v>
      </c>
      <c r="K90" s="11" t="s">
        <v>18</v>
      </c>
      <c r="L90" s="11" t="s">
        <v>19</v>
      </c>
      <c r="M90" s="11" t="s">
        <v>32</v>
      </c>
      <c r="N90" s="11" t="s">
        <v>27</v>
      </c>
      <c r="O90" s="11" t="s">
        <v>28</v>
      </c>
    </row>
    <row r="91" spans="2:15" ht="21" customHeight="1" x14ac:dyDescent="0.3">
      <c r="B91" s="4" t="s">
        <v>14</v>
      </c>
      <c r="C91" s="5">
        <v>12</v>
      </c>
      <c r="D91" s="6" t="s">
        <v>64</v>
      </c>
      <c r="E91" s="4" t="s">
        <v>16</v>
      </c>
      <c r="F91" s="4" t="s">
        <v>46</v>
      </c>
      <c r="G91" s="7">
        <v>3</v>
      </c>
      <c r="H91" s="1">
        <v>15000000</v>
      </c>
      <c r="I91" s="4">
        <v>5</v>
      </c>
      <c r="J91" s="8">
        <v>1.3888888888888889E-3</v>
      </c>
      <c r="K91" s="4" t="s">
        <v>18</v>
      </c>
      <c r="L91" s="4" t="s">
        <v>43</v>
      </c>
      <c r="M91" s="4" t="s">
        <v>52</v>
      </c>
      <c r="N91" s="4" t="s">
        <v>21</v>
      </c>
      <c r="O91" s="4" t="s">
        <v>67</v>
      </c>
    </row>
    <row r="92" spans="2:15" ht="21" customHeight="1" x14ac:dyDescent="0.3">
      <c r="B92" s="11" t="s">
        <v>14</v>
      </c>
      <c r="C92" s="12">
        <v>10</v>
      </c>
      <c r="D92" s="13" t="s">
        <v>23</v>
      </c>
      <c r="E92" s="11" t="s">
        <v>16</v>
      </c>
      <c r="F92" s="11" t="s">
        <v>72</v>
      </c>
      <c r="G92" s="14">
        <v>2</v>
      </c>
      <c r="H92" s="15">
        <v>12000000</v>
      </c>
      <c r="I92" s="11">
        <v>4</v>
      </c>
      <c r="J92" s="16">
        <v>1.3888888888888889E-3</v>
      </c>
      <c r="K92" s="11" t="s">
        <v>18</v>
      </c>
      <c r="L92" s="11" t="s">
        <v>54</v>
      </c>
      <c r="M92" s="11" t="s">
        <v>35</v>
      </c>
      <c r="N92" s="11" t="s">
        <v>27</v>
      </c>
      <c r="O92" s="11" t="s">
        <v>33</v>
      </c>
    </row>
    <row r="93" spans="2:15" ht="21" customHeight="1" x14ac:dyDescent="0.3">
      <c r="B93" s="4" t="s">
        <v>74</v>
      </c>
      <c r="C93" s="5">
        <v>3</v>
      </c>
      <c r="D93" s="6" t="s">
        <v>64</v>
      </c>
      <c r="E93" s="4" t="s">
        <v>30</v>
      </c>
      <c r="F93" s="4" t="s">
        <v>24</v>
      </c>
      <c r="G93" s="7">
        <v>0</v>
      </c>
      <c r="H93" s="1">
        <v>0</v>
      </c>
      <c r="I93" s="4">
        <v>2</v>
      </c>
      <c r="J93" s="8">
        <v>1.3888888888888889E-3</v>
      </c>
      <c r="K93" s="4"/>
      <c r="L93" s="4"/>
      <c r="M93" s="4" t="s">
        <v>52</v>
      </c>
      <c r="N93" s="4" t="s">
        <v>27</v>
      </c>
      <c r="O93" s="4" t="s">
        <v>28</v>
      </c>
    </row>
    <row r="94" spans="2:15" ht="21" customHeight="1" x14ac:dyDescent="0.3">
      <c r="B94" s="11" t="s">
        <v>74</v>
      </c>
      <c r="C94" s="12">
        <v>13</v>
      </c>
      <c r="D94" s="13" t="s">
        <v>23</v>
      </c>
      <c r="E94" s="11" t="s">
        <v>30</v>
      </c>
      <c r="F94" s="11" t="s">
        <v>17</v>
      </c>
      <c r="G94" s="14">
        <v>0</v>
      </c>
      <c r="H94" s="15">
        <v>0</v>
      </c>
      <c r="I94" s="11">
        <v>1</v>
      </c>
      <c r="J94" s="16">
        <v>1.3888888888888889E-3</v>
      </c>
      <c r="K94" s="11"/>
      <c r="L94" s="11"/>
      <c r="M94" s="11" t="s">
        <v>35</v>
      </c>
      <c r="N94" s="11" t="s">
        <v>21</v>
      </c>
      <c r="O94" s="11" t="s">
        <v>22</v>
      </c>
    </row>
    <row r="95" spans="2:15" ht="21" customHeight="1" x14ac:dyDescent="0.3">
      <c r="B95" s="4" t="s">
        <v>74</v>
      </c>
      <c r="C95" s="5">
        <v>29</v>
      </c>
      <c r="D95" s="6" t="s">
        <v>41</v>
      </c>
      <c r="E95" s="4" t="s">
        <v>30</v>
      </c>
      <c r="F95" s="4" t="s">
        <v>17</v>
      </c>
      <c r="G95" s="7">
        <v>0</v>
      </c>
      <c r="H95" s="1">
        <v>0</v>
      </c>
      <c r="I95" s="4">
        <v>4</v>
      </c>
      <c r="J95" s="8">
        <v>1.3888888888888889E-3</v>
      </c>
      <c r="K95" s="4"/>
      <c r="L95" s="4"/>
      <c r="M95" s="4" t="s">
        <v>35</v>
      </c>
      <c r="N95" s="4" t="s">
        <v>36</v>
      </c>
      <c r="O95" s="4" t="s">
        <v>69</v>
      </c>
    </row>
    <row r="96" spans="2:15" ht="21" customHeight="1" x14ac:dyDescent="0.3">
      <c r="B96" s="11" t="s">
        <v>74</v>
      </c>
      <c r="C96" s="12">
        <v>5</v>
      </c>
      <c r="D96" s="13" t="s">
        <v>41</v>
      </c>
      <c r="E96" s="11" t="s">
        <v>30</v>
      </c>
      <c r="F96" s="11" t="s">
        <v>24</v>
      </c>
      <c r="G96" s="14">
        <v>0</v>
      </c>
      <c r="H96" s="15">
        <v>0</v>
      </c>
      <c r="I96" s="11">
        <v>5</v>
      </c>
      <c r="J96" s="16">
        <v>1.3888888888888889E-3</v>
      </c>
      <c r="K96" s="11"/>
      <c r="L96" s="11"/>
      <c r="M96" s="11" t="s">
        <v>26</v>
      </c>
      <c r="N96" s="11" t="s">
        <v>27</v>
      </c>
      <c r="O96" s="11" t="s">
        <v>56</v>
      </c>
    </row>
    <row r="97" spans="2:15" ht="21" customHeight="1" x14ac:dyDescent="0.3">
      <c r="B97" s="4" t="s">
        <v>74</v>
      </c>
      <c r="C97" s="5">
        <v>19</v>
      </c>
      <c r="D97" s="6" t="s">
        <v>48</v>
      </c>
      <c r="E97" s="4" t="s">
        <v>53</v>
      </c>
      <c r="F97" s="4" t="s">
        <v>46</v>
      </c>
      <c r="G97" s="7">
        <v>0</v>
      </c>
      <c r="H97" s="1">
        <v>0</v>
      </c>
      <c r="I97" s="4">
        <v>2</v>
      </c>
      <c r="J97" s="8">
        <v>1.3888888888888889E-3</v>
      </c>
      <c r="K97" s="4"/>
      <c r="L97" s="4"/>
      <c r="M97" s="4" t="s">
        <v>55</v>
      </c>
      <c r="N97" s="4" t="s">
        <v>39</v>
      </c>
      <c r="O97" s="4" t="s">
        <v>71</v>
      </c>
    </row>
    <row r="98" spans="2:15" ht="21" customHeight="1" x14ac:dyDescent="0.3">
      <c r="B98" s="11" t="s">
        <v>74</v>
      </c>
      <c r="C98" s="12">
        <v>18</v>
      </c>
      <c r="D98" s="13" t="s">
        <v>73</v>
      </c>
      <c r="E98" s="11" t="s">
        <v>16</v>
      </c>
      <c r="F98" s="11" t="s">
        <v>46</v>
      </c>
      <c r="G98" s="14">
        <v>0</v>
      </c>
      <c r="H98" s="15">
        <v>0</v>
      </c>
      <c r="I98" s="11">
        <v>1</v>
      </c>
      <c r="J98" s="16">
        <v>1.3888888888888889E-3</v>
      </c>
      <c r="K98" s="11"/>
      <c r="L98" s="11"/>
      <c r="M98" s="11" t="s">
        <v>32</v>
      </c>
      <c r="N98" s="11" t="s">
        <v>39</v>
      </c>
      <c r="O98" s="11" t="s">
        <v>40</v>
      </c>
    </row>
    <row r="99" spans="2:15" ht="21" customHeight="1" x14ac:dyDescent="0.3">
      <c r="B99" s="4" t="s">
        <v>74</v>
      </c>
      <c r="C99" s="5">
        <v>29</v>
      </c>
      <c r="D99" s="6" t="s">
        <v>73</v>
      </c>
      <c r="E99" s="4" t="s">
        <v>53</v>
      </c>
      <c r="F99" s="4" t="s">
        <v>17</v>
      </c>
      <c r="G99" s="7">
        <v>0</v>
      </c>
      <c r="H99" s="1">
        <v>0</v>
      </c>
      <c r="I99" s="4">
        <v>1</v>
      </c>
      <c r="J99" s="8">
        <v>1.3888888888888889E-3</v>
      </c>
      <c r="K99" s="4"/>
      <c r="L99" s="4"/>
      <c r="M99" s="4" t="s">
        <v>32</v>
      </c>
      <c r="N99" s="4" t="s">
        <v>21</v>
      </c>
      <c r="O99" s="4" t="s">
        <v>66</v>
      </c>
    </row>
    <row r="100" spans="2:15" ht="21" customHeight="1" x14ac:dyDescent="0.3">
      <c r="B100" s="11" t="s">
        <v>74</v>
      </c>
      <c r="C100" s="12">
        <v>1</v>
      </c>
      <c r="D100" s="13" t="s">
        <v>73</v>
      </c>
      <c r="E100" s="11" t="s">
        <v>53</v>
      </c>
      <c r="F100" s="11" t="s">
        <v>24</v>
      </c>
      <c r="G100" s="14">
        <v>0</v>
      </c>
      <c r="H100" s="15">
        <v>0</v>
      </c>
      <c r="I100" s="11">
        <v>2</v>
      </c>
      <c r="J100" s="16">
        <v>1.3888888888888889E-3</v>
      </c>
      <c r="K100" s="11"/>
      <c r="L100" s="11"/>
      <c r="M100" s="11" t="s">
        <v>47</v>
      </c>
      <c r="N100" s="11" t="s">
        <v>21</v>
      </c>
      <c r="O100" s="11" t="s">
        <v>22</v>
      </c>
    </row>
    <row r="101" spans="2:15" ht="21" customHeight="1" x14ac:dyDescent="0.3">
      <c r="B101" s="4" t="s">
        <v>74</v>
      </c>
      <c r="C101" s="5">
        <v>30</v>
      </c>
      <c r="D101" s="6" t="s">
        <v>73</v>
      </c>
      <c r="E101" s="4" t="s">
        <v>30</v>
      </c>
      <c r="F101" s="4" t="s">
        <v>24</v>
      </c>
      <c r="G101" s="7">
        <v>0</v>
      </c>
      <c r="H101" s="1">
        <v>0</v>
      </c>
      <c r="I101" s="4">
        <v>1</v>
      </c>
      <c r="J101" s="8">
        <v>1.3888888888888889E-3</v>
      </c>
      <c r="K101" s="4"/>
      <c r="L101" s="4"/>
      <c r="M101" s="4" t="s">
        <v>52</v>
      </c>
      <c r="N101" s="4" t="s">
        <v>36</v>
      </c>
      <c r="O101" s="4" t="s">
        <v>58</v>
      </c>
    </row>
    <row r="102" spans="2:15" ht="21" customHeight="1" x14ac:dyDescent="0.3">
      <c r="B102" s="11" t="s">
        <v>74</v>
      </c>
      <c r="C102" s="12">
        <v>3</v>
      </c>
      <c r="D102" s="13" t="s">
        <v>64</v>
      </c>
      <c r="E102" s="11" t="s">
        <v>30</v>
      </c>
      <c r="F102" s="11" t="s">
        <v>24</v>
      </c>
      <c r="G102" s="14">
        <v>0</v>
      </c>
      <c r="H102" s="15">
        <v>0</v>
      </c>
      <c r="I102" s="11">
        <v>2</v>
      </c>
      <c r="J102" s="16">
        <v>1.3888888888888889E-3</v>
      </c>
      <c r="K102" s="11"/>
      <c r="L102" s="11"/>
      <c r="M102" s="11" t="s">
        <v>52</v>
      </c>
      <c r="N102" s="11" t="s">
        <v>27</v>
      </c>
      <c r="O102" s="11" t="s">
        <v>28</v>
      </c>
    </row>
    <row r="103" spans="2:15" ht="21" customHeight="1" x14ac:dyDescent="0.3">
      <c r="B103" s="4" t="s">
        <v>14</v>
      </c>
      <c r="C103" s="5">
        <v>11</v>
      </c>
      <c r="D103" s="6" t="s">
        <v>59</v>
      </c>
      <c r="E103" s="4" t="s">
        <v>53</v>
      </c>
      <c r="F103" s="4" t="s">
        <v>17</v>
      </c>
      <c r="G103" s="7">
        <v>4</v>
      </c>
      <c r="H103" s="1">
        <v>20000000</v>
      </c>
      <c r="I103" s="4">
        <v>2</v>
      </c>
      <c r="J103" s="8">
        <v>1.3888888888888889E-3</v>
      </c>
      <c r="K103" s="4" t="s">
        <v>65</v>
      </c>
      <c r="L103" s="4" t="s">
        <v>38</v>
      </c>
      <c r="M103" s="4" t="s">
        <v>32</v>
      </c>
      <c r="N103" s="4" t="s">
        <v>39</v>
      </c>
      <c r="O103" s="4" t="s">
        <v>71</v>
      </c>
    </row>
    <row r="104" spans="2:15" ht="21" customHeight="1" x14ac:dyDescent="0.3">
      <c r="B104" s="11" t="s">
        <v>14</v>
      </c>
      <c r="C104" s="12">
        <v>14</v>
      </c>
      <c r="D104" s="13" t="s">
        <v>59</v>
      </c>
      <c r="E104" s="11" t="s">
        <v>53</v>
      </c>
      <c r="F104" s="11" t="s">
        <v>17</v>
      </c>
      <c r="G104" s="14">
        <v>3</v>
      </c>
      <c r="H104" s="15">
        <v>15000000</v>
      </c>
      <c r="I104" s="11">
        <v>2</v>
      </c>
      <c r="J104" s="16">
        <v>1.3888888888888889E-3</v>
      </c>
      <c r="K104" s="11" t="s">
        <v>18</v>
      </c>
      <c r="L104" s="11" t="s">
        <v>60</v>
      </c>
      <c r="M104" s="11" t="s">
        <v>32</v>
      </c>
      <c r="N104" s="11" t="s">
        <v>27</v>
      </c>
      <c r="O104" s="11" t="s">
        <v>56</v>
      </c>
    </row>
    <row r="105" spans="2:15" ht="21" customHeight="1" x14ac:dyDescent="0.3">
      <c r="B105" s="4" t="s">
        <v>14</v>
      </c>
      <c r="C105" s="5">
        <v>11</v>
      </c>
      <c r="D105" s="6" t="s">
        <v>61</v>
      </c>
      <c r="E105" s="4" t="s">
        <v>53</v>
      </c>
      <c r="F105" s="4" t="s">
        <v>46</v>
      </c>
      <c r="G105" s="7">
        <v>2</v>
      </c>
      <c r="H105" s="1">
        <v>10000000</v>
      </c>
      <c r="I105" s="4">
        <v>1</v>
      </c>
      <c r="J105" s="8">
        <v>1.3888888888888889E-3</v>
      </c>
      <c r="K105" s="4" t="s">
        <v>18</v>
      </c>
      <c r="L105" s="4" t="s">
        <v>43</v>
      </c>
      <c r="M105" s="4" t="s">
        <v>35</v>
      </c>
      <c r="N105" s="4" t="s">
        <v>21</v>
      </c>
      <c r="O105" s="4" t="s">
        <v>67</v>
      </c>
    </row>
    <row r="106" spans="2:15" ht="21" customHeight="1" x14ac:dyDescent="0.3">
      <c r="B106" s="11" t="s">
        <v>14</v>
      </c>
      <c r="C106" s="12">
        <v>1</v>
      </c>
      <c r="D106" s="13" t="s">
        <v>15</v>
      </c>
      <c r="E106" s="11" t="s">
        <v>30</v>
      </c>
      <c r="F106" s="11" t="s">
        <v>46</v>
      </c>
      <c r="G106" s="14">
        <v>5</v>
      </c>
      <c r="H106" s="15">
        <v>25000000</v>
      </c>
      <c r="I106" s="11">
        <v>1</v>
      </c>
      <c r="J106" s="16">
        <v>1.3888888888888889E-3</v>
      </c>
      <c r="K106" s="11" t="s">
        <v>18</v>
      </c>
      <c r="L106" s="11" t="s">
        <v>43</v>
      </c>
      <c r="M106" s="11" t="s">
        <v>44</v>
      </c>
      <c r="N106" s="11" t="s">
        <v>21</v>
      </c>
      <c r="O106" s="11" t="s">
        <v>45</v>
      </c>
    </row>
    <row r="107" spans="2:15" ht="21" customHeight="1" x14ac:dyDescent="0.3">
      <c r="B107" s="4" t="s">
        <v>14</v>
      </c>
      <c r="C107" s="5">
        <v>1</v>
      </c>
      <c r="D107" s="6" t="s">
        <v>76</v>
      </c>
      <c r="E107" s="4" t="s">
        <v>77</v>
      </c>
      <c r="F107" s="4" t="s">
        <v>24</v>
      </c>
      <c r="G107" s="7">
        <v>2</v>
      </c>
      <c r="H107" s="1">
        <v>12000000</v>
      </c>
      <c r="I107" s="4">
        <v>5</v>
      </c>
      <c r="J107" s="8">
        <v>1.3888888888888889E-3</v>
      </c>
      <c r="K107" s="4" t="s">
        <v>18</v>
      </c>
      <c r="L107" s="4" t="s">
        <v>60</v>
      </c>
      <c r="M107" s="4" t="s">
        <v>52</v>
      </c>
      <c r="N107" s="4" t="s">
        <v>36</v>
      </c>
      <c r="O107" s="4" t="s">
        <v>58</v>
      </c>
    </row>
    <row r="108" spans="2:15" ht="21" customHeight="1" x14ac:dyDescent="0.3">
      <c r="B108" s="11" t="s">
        <v>14</v>
      </c>
      <c r="C108" s="12">
        <v>30</v>
      </c>
      <c r="D108" s="13" t="s">
        <v>29</v>
      </c>
      <c r="E108" s="11" t="s">
        <v>16</v>
      </c>
      <c r="F108" s="11" t="s">
        <v>46</v>
      </c>
      <c r="G108" s="14">
        <v>2</v>
      </c>
      <c r="H108" s="15">
        <v>12000000</v>
      </c>
      <c r="I108" s="11">
        <v>1</v>
      </c>
      <c r="J108" s="16">
        <v>1.3888888888888889E-3</v>
      </c>
      <c r="K108" s="11" t="s">
        <v>18</v>
      </c>
      <c r="L108" s="11" t="s">
        <v>19</v>
      </c>
      <c r="M108" s="11" t="s">
        <v>32</v>
      </c>
      <c r="N108" s="11" t="s">
        <v>39</v>
      </c>
      <c r="O108" s="11" t="s">
        <v>71</v>
      </c>
    </row>
    <row r="109" spans="2:15" ht="21" customHeight="1" x14ac:dyDescent="0.3">
      <c r="B109" s="4" t="s">
        <v>14</v>
      </c>
      <c r="C109" s="5">
        <v>13</v>
      </c>
      <c r="D109" s="6" t="s">
        <v>29</v>
      </c>
      <c r="E109" s="4" t="s">
        <v>42</v>
      </c>
      <c r="F109" s="4" t="s">
        <v>46</v>
      </c>
      <c r="G109" s="7">
        <v>3</v>
      </c>
      <c r="H109" s="1">
        <v>12000000</v>
      </c>
      <c r="I109" s="4">
        <v>1</v>
      </c>
      <c r="J109" s="8">
        <v>1.3888888888888889E-3</v>
      </c>
      <c r="K109" s="4" t="s">
        <v>18</v>
      </c>
      <c r="L109" s="4" t="s">
        <v>51</v>
      </c>
      <c r="M109" s="4" t="s">
        <v>52</v>
      </c>
      <c r="N109" s="4" t="s">
        <v>21</v>
      </c>
      <c r="O109" s="4" t="s">
        <v>66</v>
      </c>
    </row>
    <row r="110" spans="2:15" ht="21" customHeight="1" x14ac:dyDescent="0.3">
      <c r="B110" s="11" t="s">
        <v>14</v>
      </c>
      <c r="C110" s="12">
        <v>1</v>
      </c>
      <c r="D110" s="13" t="s">
        <v>29</v>
      </c>
      <c r="E110" s="11" t="s">
        <v>16</v>
      </c>
      <c r="F110" s="11" t="s">
        <v>46</v>
      </c>
      <c r="G110" s="14">
        <v>1</v>
      </c>
      <c r="H110" s="15">
        <v>7000000</v>
      </c>
      <c r="I110" s="11">
        <v>4</v>
      </c>
      <c r="J110" s="16">
        <v>1.3888888888888889E-3</v>
      </c>
      <c r="K110" s="11" t="s">
        <v>18</v>
      </c>
      <c r="L110" s="11" t="s">
        <v>38</v>
      </c>
      <c r="M110" s="11" t="s">
        <v>55</v>
      </c>
      <c r="N110" s="11" t="s">
        <v>21</v>
      </c>
      <c r="O110" s="11" t="s">
        <v>66</v>
      </c>
    </row>
    <row r="111" spans="2:15" ht="21" customHeight="1" x14ac:dyDescent="0.3">
      <c r="B111" s="4" t="s">
        <v>14</v>
      </c>
      <c r="C111" s="5">
        <v>21</v>
      </c>
      <c r="D111" s="6" t="s">
        <v>41</v>
      </c>
      <c r="E111" s="4" t="s">
        <v>34</v>
      </c>
      <c r="F111" s="4" t="s">
        <v>46</v>
      </c>
      <c r="G111" s="7">
        <v>1</v>
      </c>
      <c r="H111" s="1">
        <v>19000000</v>
      </c>
      <c r="I111" s="4">
        <v>1</v>
      </c>
      <c r="J111" s="8">
        <v>1.3888888888888889E-3</v>
      </c>
      <c r="K111" s="4" t="s">
        <v>50</v>
      </c>
      <c r="L111" s="4" t="s">
        <v>43</v>
      </c>
      <c r="M111" s="4" t="s">
        <v>32</v>
      </c>
      <c r="N111" s="4" t="s">
        <v>21</v>
      </c>
      <c r="O111" s="4" t="s">
        <v>67</v>
      </c>
    </row>
    <row r="112" spans="2:15" ht="21" customHeight="1" x14ac:dyDescent="0.3">
      <c r="B112" s="11" t="s">
        <v>14</v>
      </c>
      <c r="C112" s="12">
        <v>3</v>
      </c>
      <c r="D112" s="13" t="s">
        <v>41</v>
      </c>
      <c r="E112" s="11" t="s">
        <v>34</v>
      </c>
      <c r="F112" s="11" t="s">
        <v>46</v>
      </c>
      <c r="G112" s="14">
        <v>2</v>
      </c>
      <c r="H112" s="15">
        <v>38000000</v>
      </c>
      <c r="I112" s="11">
        <v>2</v>
      </c>
      <c r="J112" s="16">
        <v>1.3888888888888889E-3</v>
      </c>
      <c r="K112" s="11" t="s">
        <v>50</v>
      </c>
      <c r="L112" s="11" t="s">
        <v>19</v>
      </c>
      <c r="M112" s="11" t="s">
        <v>55</v>
      </c>
      <c r="N112" s="11" t="s">
        <v>27</v>
      </c>
      <c r="O112" s="11" t="s">
        <v>33</v>
      </c>
    </row>
    <row r="113" spans="2:15" ht="21" customHeight="1" x14ac:dyDescent="0.3">
      <c r="B113" s="4" t="s">
        <v>14</v>
      </c>
      <c r="C113" s="5">
        <v>8</v>
      </c>
      <c r="D113" s="6" t="s">
        <v>41</v>
      </c>
      <c r="E113" s="4" t="s">
        <v>53</v>
      </c>
      <c r="F113" s="4" t="s">
        <v>46</v>
      </c>
      <c r="G113" s="7">
        <v>4</v>
      </c>
      <c r="H113" s="1">
        <v>20000000</v>
      </c>
      <c r="I113" s="4">
        <v>2</v>
      </c>
      <c r="J113" s="8">
        <v>1.3888888888888889E-3</v>
      </c>
      <c r="K113" s="4" t="s">
        <v>65</v>
      </c>
      <c r="L113" s="4" t="s">
        <v>43</v>
      </c>
      <c r="M113" s="4" t="s">
        <v>32</v>
      </c>
      <c r="N113" s="4" t="s">
        <v>27</v>
      </c>
      <c r="O113" s="4" t="s">
        <v>28</v>
      </c>
    </row>
    <row r="114" spans="2:15" ht="21" customHeight="1" x14ac:dyDescent="0.3">
      <c r="B114" s="11" t="s">
        <v>14</v>
      </c>
      <c r="C114" s="12">
        <v>14</v>
      </c>
      <c r="D114" s="13" t="s">
        <v>41</v>
      </c>
      <c r="E114" s="11" t="s">
        <v>16</v>
      </c>
      <c r="F114" s="11" t="s">
        <v>24</v>
      </c>
      <c r="G114" s="14">
        <v>1</v>
      </c>
      <c r="H114" s="15">
        <v>7000000</v>
      </c>
      <c r="I114" s="11">
        <v>5</v>
      </c>
      <c r="J114" s="16">
        <v>1.3888888888888889E-3</v>
      </c>
      <c r="K114" s="11" t="s">
        <v>18</v>
      </c>
      <c r="L114" s="11" t="s">
        <v>38</v>
      </c>
      <c r="M114" s="11" t="s">
        <v>47</v>
      </c>
      <c r="N114" s="11" t="s">
        <v>39</v>
      </c>
      <c r="O114" s="11" t="s">
        <v>71</v>
      </c>
    </row>
    <row r="115" spans="2:15" ht="21" customHeight="1" x14ac:dyDescent="0.3">
      <c r="B115" s="4" t="s">
        <v>14</v>
      </c>
      <c r="C115" s="5">
        <v>31</v>
      </c>
      <c r="D115" s="6" t="s">
        <v>41</v>
      </c>
      <c r="E115" s="4" t="s">
        <v>30</v>
      </c>
      <c r="F115" s="4" t="s">
        <v>24</v>
      </c>
      <c r="G115" s="7">
        <v>3</v>
      </c>
      <c r="H115" s="1">
        <v>15000000</v>
      </c>
      <c r="I115" s="4">
        <v>3</v>
      </c>
      <c r="J115" s="8">
        <v>1.3888888888888889E-3</v>
      </c>
      <c r="K115" s="4" t="s">
        <v>18</v>
      </c>
      <c r="L115" s="4" t="s">
        <v>31</v>
      </c>
      <c r="M115" s="4" t="s">
        <v>26</v>
      </c>
      <c r="N115" s="4" t="s">
        <v>36</v>
      </c>
      <c r="O115" s="4" t="s">
        <v>69</v>
      </c>
    </row>
    <row r="116" spans="2:15" ht="21" customHeight="1" x14ac:dyDescent="0.3">
      <c r="B116" s="11" t="s">
        <v>14</v>
      </c>
      <c r="C116" s="12">
        <v>20</v>
      </c>
      <c r="D116" s="13" t="s">
        <v>41</v>
      </c>
      <c r="E116" s="11" t="s">
        <v>34</v>
      </c>
      <c r="F116" s="11" t="s">
        <v>49</v>
      </c>
      <c r="G116" s="14">
        <v>3</v>
      </c>
      <c r="H116" s="15">
        <v>15000000</v>
      </c>
      <c r="I116" s="11">
        <v>1</v>
      </c>
      <c r="J116" s="16">
        <v>1.3888888888888889E-3</v>
      </c>
      <c r="K116" s="11" t="s">
        <v>18</v>
      </c>
      <c r="L116" s="11" t="s">
        <v>68</v>
      </c>
      <c r="M116" s="11" t="s">
        <v>52</v>
      </c>
      <c r="N116" s="11" t="s">
        <v>36</v>
      </c>
      <c r="O116" s="11" t="s">
        <v>58</v>
      </c>
    </row>
    <row r="117" spans="2:15" ht="21" customHeight="1" x14ac:dyDescent="0.3">
      <c r="B117" s="4" t="s">
        <v>14</v>
      </c>
      <c r="C117" s="5">
        <v>25</v>
      </c>
      <c r="D117" s="6" t="s">
        <v>48</v>
      </c>
      <c r="E117" s="4" t="s">
        <v>16</v>
      </c>
      <c r="F117" s="4" t="s">
        <v>24</v>
      </c>
      <c r="G117" s="7">
        <v>2</v>
      </c>
      <c r="H117" s="1">
        <v>38000000</v>
      </c>
      <c r="I117" s="4">
        <v>1</v>
      </c>
      <c r="J117" s="8">
        <v>1.3888888888888889E-3</v>
      </c>
      <c r="K117" s="4" t="s">
        <v>50</v>
      </c>
      <c r="L117" s="4" t="s">
        <v>51</v>
      </c>
      <c r="M117" s="4" t="s">
        <v>32</v>
      </c>
      <c r="N117" s="4" t="s">
        <v>21</v>
      </c>
      <c r="O117" s="4" t="s">
        <v>57</v>
      </c>
    </row>
    <row r="118" spans="2:15" ht="21" customHeight="1" x14ac:dyDescent="0.3">
      <c r="B118" s="11" t="s">
        <v>14</v>
      </c>
      <c r="C118" s="12">
        <v>5</v>
      </c>
      <c r="D118" s="13" t="s">
        <v>48</v>
      </c>
      <c r="E118" s="11" t="s">
        <v>34</v>
      </c>
      <c r="F118" s="11" t="s">
        <v>49</v>
      </c>
      <c r="G118" s="14">
        <v>3</v>
      </c>
      <c r="H118" s="15">
        <v>12000000</v>
      </c>
      <c r="I118" s="11">
        <v>2</v>
      </c>
      <c r="J118" s="16">
        <v>1.3888888888888889E-3</v>
      </c>
      <c r="K118" s="11" t="s">
        <v>18</v>
      </c>
      <c r="L118" s="11" t="s">
        <v>25</v>
      </c>
      <c r="M118" s="11" t="s">
        <v>47</v>
      </c>
      <c r="N118" s="11" t="s">
        <v>27</v>
      </c>
      <c r="O118" s="11" t="s">
        <v>56</v>
      </c>
    </row>
    <row r="119" spans="2:15" ht="21" customHeight="1" x14ac:dyDescent="0.3">
      <c r="B119" s="4" t="s">
        <v>14</v>
      </c>
      <c r="C119" s="5">
        <v>16</v>
      </c>
      <c r="D119" s="6" t="s">
        <v>48</v>
      </c>
      <c r="E119" s="4" t="s">
        <v>30</v>
      </c>
      <c r="F119" s="4" t="s">
        <v>46</v>
      </c>
      <c r="G119" s="7">
        <v>2</v>
      </c>
      <c r="H119" s="1">
        <v>12000000</v>
      </c>
      <c r="I119" s="4">
        <v>3</v>
      </c>
      <c r="J119" s="8">
        <v>1.3888888888888889E-3</v>
      </c>
      <c r="K119" s="4" t="s">
        <v>18</v>
      </c>
      <c r="L119" s="4" t="s">
        <v>19</v>
      </c>
      <c r="M119" s="4" t="s">
        <v>55</v>
      </c>
      <c r="N119" s="4" t="s">
        <v>27</v>
      </c>
      <c r="O119" s="4" t="s">
        <v>28</v>
      </c>
    </row>
    <row r="120" spans="2:15" ht="21" customHeight="1" x14ac:dyDescent="0.3">
      <c r="B120" s="11" t="s">
        <v>14</v>
      </c>
      <c r="C120" s="12">
        <v>26</v>
      </c>
      <c r="D120" s="13" t="s">
        <v>73</v>
      </c>
      <c r="E120" s="11" t="s">
        <v>42</v>
      </c>
      <c r="F120" s="11" t="s">
        <v>24</v>
      </c>
      <c r="G120" s="14">
        <v>5</v>
      </c>
      <c r="H120" s="15">
        <v>25000000</v>
      </c>
      <c r="I120" s="11">
        <v>5</v>
      </c>
      <c r="J120" s="16">
        <v>1.3888888888888889E-3</v>
      </c>
      <c r="K120" s="11" t="s">
        <v>18</v>
      </c>
      <c r="L120" s="11" t="s">
        <v>68</v>
      </c>
      <c r="M120" s="11" t="s">
        <v>44</v>
      </c>
      <c r="N120" s="11" t="s">
        <v>36</v>
      </c>
      <c r="O120" s="11" t="s">
        <v>58</v>
      </c>
    </row>
    <row r="121" spans="2:15" ht="21" customHeight="1" x14ac:dyDescent="0.3">
      <c r="B121" s="4" t="s">
        <v>14</v>
      </c>
      <c r="C121" s="5">
        <v>11</v>
      </c>
      <c r="D121" s="6" t="s">
        <v>59</v>
      </c>
      <c r="E121" s="4" t="s">
        <v>53</v>
      </c>
      <c r="F121" s="4" t="s">
        <v>17</v>
      </c>
      <c r="G121" s="7">
        <v>4</v>
      </c>
      <c r="H121" s="1">
        <v>20000000</v>
      </c>
      <c r="I121" s="4">
        <v>2</v>
      </c>
      <c r="J121" s="8">
        <v>1.3888888888888889E-3</v>
      </c>
      <c r="K121" s="4" t="s">
        <v>65</v>
      </c>
      <c r="L121" s="4" t="s">
        <v>38</v>
      </c>
      <c r="M121" s="4" t="s">
        <v>32</v>
      </c>
      <c r="N121" s="4" t="s">
        <v>39</v>
      </c>
      <c r="O121" s="4" t="s">
        <v>71</v>
      </c>
    </row>
    <row r="122" spans="2:15" ht="21" customHeight="1" x14ac:dyDescent="0.3">
      <c r="B122" s="11" t="s">
        <v>14</v>
      </c>
      <c r="C122" s="12">
        <v>14</v>
      </c>
      <c r="D122" s="13" t="s">
        <v>59</v>
      </c>
      <c r="E122" s="11" t="s">
        <v>53</v>
      </c>
      <c r="F122" s="11" t="s">
        <v>17</v>
      </c>
      <c r="G122" s="14">
        <v>3</v>
      </c>
      <c r="H122" s="15">
        <v>15000000</v>
      </c>
      <c r="I122" s="11">
        <v>2</v>
      </c>
      <c r="J122" s="16">
        <v>1.3888888888888889E-3</v>
      </c>
      <c r="K122" s="11" t="s">
        <v>18</v>
      </c>
      <c r="L122" s="11" t="s">
        <v>60</v>
      </c>
      <c r="M122" s="11" t="s">
        <v>32</v>
      </c>
      <c r="N122" s="11" t="s">
        <v>27</v>
      </c>
      <c r="O122" s="11" t="s">
        <v>56</v>
      </c>
    </row>
    <row r="123" spans="2:15" ht="21" customHeight="1" x14ac:dyDescent="0.3">
      <c r="B123" s="4" t="s">
        <v>14</v>
      </c>
      <c r="C123" s="5">
        <v>11</v>
      </c>
      <c r="D123" s="6" t="s">
        <v>61</v>
      </c>
      <c r="E123" s="4" t="s">
        <v>53</v>
      </c>
      <c r="F123" s="4" t="s">
        <v>46</v>
      </c>
      <c r="G123" s="7">
        <v>2</v>
      </c>
      <c r="H123" s="1">
        <v>10000000</v>
      </c>
      <c r="I123" s="4">
        <v>1</v>
      </c>
      <c r="J123" s="8">
        <v>1.3888888888888889E-3</v>
      </c>
      <c r="K123" s="4" t="s">
        <v>18</v>
      </c>
      <c r="L123" s="4" t="s">
        <v>43</v>
      </c>
      <c r="M123" s="4" t="s">
        <v>35</v>
      </c>
      <c r="N123" s="4" t="s">
        <v>21</v>
      </c>
      <c r="O123" s="4" t="s">
        <v>67</v>
      </c>
    </row>
    <row r="124" spans="2:15" ht="21" customHeight="1" x14ac:dyDescent="0.3">
      <c r="B124" s="11" t="s">
        <v>14</v>
      </c>
      <c r="C124" s="12">
        <v>1</v>
      </c>
      <c r="D124" s="13" t="s">
        <v>15</v>
      </c>
      <c r="E124" s="11" t="s">
        <v>30</v>
      </c>
      <c r="F124" s="11" t="s">
        <v>46</v>
      </c>
      <c r="G124" s="14">
        <v>5</v>
      </c>
      <c r="H124" s="15">
        <v>25000000</v>
      </c>
      <c r="I124" s="11">
        <v>1</v>
      </c>
      <c r="J124" s="16">
        <v>1.3888888888888889E-3</v>
      </c>
      <c r="K124" s="11" t="s">
        <v>18</v>
      </c>
      <c r="L124" s="11" t="s">
        <v>43</v>
      </c>
      <c r="M124" s="11" t="s">
        <v>44</v>
      </c>
      <c r="N124" s="11" t="s">
        <v>21</v>
      </c>
      <c r="O124" s="11" t="s">
        <v>45</v>
      </c>
    </row>
    <row r="125" spans="2:15" ht="21" customHeight="1" x14ac:dyDescent="0.3">
      <c r="B125" s="4" t="s">
        <v>14</v>
      </c>
      <c r="C125" s="5">
        <v>1</v>
      </c>
      <c r="D125" s="6" t="s">
        <v>76</v>
      </c>
      <c r="E125" s="4" t="s">
        <v>77</v>
      </c>
      <c r="F125" s="4" t="s">
        <v>24</v>
      </c>
      <c r="G125" s="7">
        <v>2</v>
      </c>
      <c r="H125" s="1">
        <v>12000000</v>
      </c>
      <c r="I125" s="4">
        <v>5</v>
      </c>
      <c r="J125" s="8">
        <v>1.3888888888888889E-3</v>
      </c>
      <c r="K125" s="4" t="s">
        <v>18</v>
      </c>
      <c r="L125" s="4" t="s">
        <v>60</v>
      </c>
      <c r="M125" s="4" t="s">
        <v>52</v>
      </c>
      <c r="N125" s="4" t="s">
        <v>36</v>
      </c>
      <c r="O125" s="4" t="s">
        <v>58</v>
      </c>
    </row>
    <row r="126" spans="2:15" ht="21" customHeight="1" x14ac:dyDescent="0.3">
      <c r="B126" s="11" t="s">
        <v>74</v>
      </c>
      <c r="C126" s="12">
        <v>13</v>
      </c>
      <c r="D126" s="13" t="s">
        <v>64</v>
      </c>
      <c r="E126" s="11" t="s">
        <v>16</v>
      </c>
      <c r="F126" s="11" t="s">
        <v>72</v>
      </c>
      <c r="G126" s="14">
        <v>0</v>
      </c>
      <c r="H126" s="15">
        <v>0</v>
      </c>
      <c r="I126" s="11">
        <v>3</v>
      </c>
      <c r="J126" s="16">
        <v>1.3888888888888889E-3</v>
      </c>
      <c r="K126" s="11"/>
      <c r="L126" s="11"/>
      <c r="M126" s="11" t="s">
        <v>26</v>
      </c>
      <c r="N126" s="11" t="s">
        <v>27</v>
      </c>
      <c r="O126" s="11" t="s">
        <v>28</v>
      </c>
    </row>
    <row r="127" spans="2:15" ht="21" customHeight="1" x14ac:dyDescent="0.3">
      <c r="B127" s="4" t="s">
        <v>74</v>
      </c>
      <c r="C127" s="5">
        <v>15</v>
      </c>
      <c r="D127" s="6" t="s">
        <v>29</v>
      </c>
      <c r="E127" s="4" t="s">
        <v>42</v>
      </c>
      <c r="F127" s="4" t="s">
        <v>24</v>
      </c>
      <c r="G127" s="7">
        <v>0</v>
      </c>
      <c r="H127" s="1">
        <v>0</v>
      </c>
      <c r="I127" s="4">
        <v>4</v>
      </c>
      <c r="J127" s="8">
        <v>1.3888888888888889E-3</v>
      </c>
      <c r="K127" s="4"/>
      <c r="L127" s="4"/>
      <c r="M127" s="4" t="s">
        <v>20</v>
      </c>
      <c r="N127" s="4" t="s">
        <v>21</v>
      </c>
      <c r="O127" s="4" t="s">
        <v>70</v>
      </c>
    </row>
    <row r="128" spans="2:15" ht="21" customHeight="1" x14ac:dyDescent="0.3">
      <c r="B128" s="11" t="s">
        <v>74</v>
      </c>
      <c r="C128" s="12">
        <v>28</v>
      </c>
      <c r="D128" s="13" t="s">
        <v>41</v>
      </c>
      <c r="E128" s="11" t="s">
        <v>34</v>
      </c>
      <c r="F128" s="11" t="s">
        <v>24</v>
      </c>
      <c r="G128" s="14">
        <v>0</v>
      </c>
      <c r="H128" s="15">
        <v>0</v>
      </c>
      <c r="I128" s="11">
        <v>3</v>
      </c>
      <c r="J128" s="16">
        <v>1.3888888888888889E-3</v>
      </c>
      <c r="K128" s="11"/>
      <c r="L128" s="11"/>
      <c r="M128" s="11" t="s">
        <v>35</v>
      </c>
      <c r="N128" s="11" t="s">
        <v>27</v>
      </c>
      <c r="O128" s="11" t="s">
        <v>33</v>
      </c>
    </row>
    <row r="129" spans="2:15" ht="21" customHeight="1" x14ac:dyDescent="0.3">
      <c r="B129" s="4" t="s">
        <v>74</v>
      </c>
      <c r="C129" s="5">
        <v>20</v>
      </c>
      <c r="D129" s="6" t="s">
        <v>41</v>
      </c>
      <c r="E129" s="4" t="s">
        <v>16</v>
      </c>
      <c r="F129" s="4" t="s">
        <v>46</v>
      </c>
      <c r="G129" s="7">
        <v>0</v>
      </c>
      <c r="H129" s="1">
        <v>0</v>
      </c>
      <c r="I129" s="4">
        <v>2</v>
      </c>
      <c r="J129" s="8">
        <v>1.3888888888888889E-3</v>
      </c>
      <c r="K129" s="4"/>
      <c r="L129" s="4"/>
      <c r="M129" s="4" t="s">
        <v>20</v>
      </c>
      <c r="N129" s="4" t="s">
        <v>21</v>
      </c>
      <c r="O129" s="4" t="s">
        <v>66</v>
      </c>
    </row>
    <row r="130" spans="2:15" ht="21" customHeight="1" x14ac:dyDescent="0.3">
      <c r="B130" s="11" t="s">
        <v>74</v>
      </c>
      <c r="C130" s="12">
        <v>14</v>
      </c>
      <c r="D130" s="13" t="s">
        <v>41</v>
      </c>
      <c r="E130" s="11" t="s">
        <v>16</v>
      </c>
      <c r="F130" s="11" t="s">
        <v>46</v>
      </c>
      <c r="G130" s="14">
        <v>0</v>
      </c>
      <c r="H130" s="15">
        <v>0</v>
      </c>
      <c r="I130" s="11">
        <v>1</v>
      </c>
      <c r="J130" s="16">
        <v>1.3888888888888889E-3</v>
      </c>
      <c r="K130" s="11"/>
      <c r="L130" s="11"/>
      <c r="M130" s="11" t="s">
        <v>52</v>
      </c>
      <c r="N130" s="11" t="s">
        <v>39</v>
      </c>
      <c r="O130" s="11" t="s">
        <v>71</v>
      </c>
    </row>
    <row r="131" spans="2:15" ht="21" customHeight="1" x14ac:dyDescent="0.3">
      <c r="B131" s="4" t="s">
        <v>74</v>
      </c>
      <c r="C131" s="5">
        <v>13</v>
      </c>
      <c r="D131" s="6" t="s">
        <v>48</v>
      </c>
      <c r="E131" s="4" t="s">
        <v>16</v>
      </c>
      <c r="F131" s="4" t="s">
        <v>24</v>
      </c>
      <c r="G131" s="7">
        <v>0</v>
      </c>
      <c r="H131" s="1">
        <v>0</v>
      </c>
      <c r="I131" s="4">
        <v>1</v>
      </c>
      <c r="J131" s="8">
        <v>1.3888888888888889E-3</v>
      </c>
      <c r="K131" s="4"/>
      <c r="L131" s="4"/>
      <c r="M131" s="4" t="s">
        <v>35</v>
      </c>
      <c r="N131" s="4" t="s">
        <v>21</v>
      </c>
      <c r="O131" s="4" t="s">
        <v>45</v>
      </c>
    </row>
    <row r="132" spans="2:15" ht="21" customHeight="1" x14ac:dyDescent="0.3">
      <c r="B132" s="11" t="s">
        <v>74</v>
      </c>
      <c r="C132" s="12">
        <v>15</v>
      </c>
      <c r="D132" s="13" t="s">
        <v>48</v>
      </c>
      <c r="E132" s="11" t="s">
        <v>53</v>
      </c>
      <c r="F132" s="11" t="s">
        <v>24</v>
      </c>
      <c r="G132" s="14">
        <v>0</v>
      </c>
      <c r="H132" s="15">
        <v>0</v>
      </c>
      <c r="I132" s="11">
        <v>4</v>
      </c>
      <c r="J132" s="16">
        <v>1.3888888888888889E-3</v>
      </c>
      <c r="K132" s="11"/>
      <c r="L132" s="11"/>
      <c r="M132" s="11" t="s">
        <v>35</v>
      </c>
      <c r="N132" s="11" t="s">
        <v>36</v>
      </c>
      <c r="O132" s="11" t="s">
        <v>58</v>
      </c>
    </row>
    <row r="133" spans="2:15" ht="21" customHeight="1" x14ac:dyDescent="0.3">
      <c r="B133" s="4" t="s">
        <v>74</v>
      </c>
      <c r="C133" s="5">
        <v>26</v>
      </c>
      <c r="D133" s="6" t="s">
        <v>48</v>
      </c>
      <c r="E133" s="4" t="s">
        <v>16</v>
      </c>
      <c r="F133" s="4" t="s">
        <v>46</v>
      </c>
      <c r="G133" s="7">
        <v>0</v>
      </c>
      <c r="H133" s="1">
        <v>0</v>
      </c>
      <c r="I133" s="4">
        <v>2</v>
      </c>
      <c r="J133" s="8">
        <v>1.3888888888888889E-3</v>
      </c>
      <c r="K133" s="4"/>
      <c r="L133" s="4"/>
      <c r="M133" s="4" t="s">
        <v>55</v>
      </c>
      <c r="N133" s="4" t="s">
        <v>27</v>
      </c>
      <c r="O133" s="4" t="s">
        <v>33</v>
      </c>
    </row>
    <row r="134" spans="2:15" ht="21" customHeight="1" x14ac:dyDescent="0.3">
      <c r="B134" s="11" t="s">
        <v>74</v>
      </c>
      <c r="C134" s="12">
        <v>13</v>
      </c>
      <c r="D134" s="13" t="s">
        <v>64</v>
      </c>
      <c r="E134" s="11" t="s">
        <v>16</v>
      </c>
      <c r="F134" s="11" t="s">
        <v>72</v>
      </c>
      <c r="G134" s="14">
        <v>0</v>
      </c>
      <c r="H134" s="15">
        <v>0</v>
      </c>
      <c r="I134" s="11">
        <v>3</v>
      </c>
      <c r="J134" s="16">
        <v>1.3888888888888889E-3</v>
      </c>
      <c r="K134" s="11"/>
      <c r="L134" s="11"/>
      <c r="M134" s="11" t="s">
        <v>26</v>
      </c>
      <c r="N134" s="11" t="s">
        <v>27</v>
      </c>
      <c r="O134" s="11" t="s">
        <v>28</v>
      </c>
    </row>
    <row r="135" spans="2:15" ht="21" customHeight="1" x14ac:dyDescent="0.3">
      <c r="B135" s="4" t="s">
        <v>14</v>
      </c>
      <c r="C135" s="5">
        <v>16</v>
      </c>
      <c r="D135" s="6" t="s">
        <v>59</v>
      </c>
      <c r="E135" s="4" t="s">
        <v>42</v>
      </c>
      <c r="F135" s="4" t="s">
        <v>24</v>
      </c>
      <c r="G135" s="7">
        <v>5</v>
      </c>
      <c r="H135" s="1">
        <v>25000000</v>
      </c>
      <c r="I135" s="4">
        <v>1</v>
      </c>
      <c r="J135" s="8">
        <v>1.3888888888888889E-3</v>
      </c>
      <c r="K135" s="4" t="s">
        <v>18</v>
      </c>
      <c r="L135" s="4" t="s">
        <v>51</v>
      </c>
      <c r="M135" s="4" t="s">
        <v>52</v>
      </c>
      <c r="N135" s="4" t="s">
        <v>27</v>
      </c>
      <c r="O135" s="4" t="s">
        <v>33</v>
      </c>
    </row>
    <row r="136" spans="2:15" ht="21" customHeight="1" x14ac:dyDescent="0.3">
      <c r="B136" s="11" t="s">
        <v>14</v>
      </c>
      <c r="C136" s="12">
        <v>1</v>
      </c>
      <c r="D136" s="13" t="s">
        <v>61</v>
      </c>
      <c r="E136" s="11" t="s">
        <v>34</v>
      </c>
      <c r="F136" s="11" t="s">
        <v>24</v>
      </c>
      <c r="G136" s="14">
        <v>1</v>
      </c>
      <c r="H136" s="15">
        <v>7000000</v>
      </c>
      <c r="I136" s="11">
        <v>2</v>
      </c>
      <c r="J136" s="16">
        <v>1.3888888888888889E-3</v>
      </c>
      <c r="K136" s="11" t="s">
        <v>18</v>
      </c>
      <c r="L136" s="11" t="s">
        <v>25</v>
      </c>
      <c r="M136" s="11" t="s">
        <v>35</v>
      </c>
      <c r="N136" s="11" t="s">
        <v>27</v>
      </c>
      <c r="O136" s="11" t="s">
        <v>33</v>
      </c>
    </row>
    <row r="137" spans="2:15" ht="21" customHeight="1" x14ac:dyDescent="0.3">
      <c r="B137" s="4" t="s">
        <v>14</v>
      </c>
      <c r="C137" s="5">
        <v>11</v>
      </c>
      <c r="D137" s="6" t="s">
        <v>61</v>
      </c>
      <c r="E137" s="4" t="s">
        <v>34</v>
      </c>
      <c r="F137" s="4" t="s">
        <v>49</v>
      </c>
      <c r="G137" s="7">
        <v>2</v>
      </c>
      <c r="H137" s="1">
        <v>12000000</v>
      </c>
      <c r="I137" s="4">
        <v>2</v>
      </c>
      <c r="J137" s="8">
        <v>1.3888888888888889E-3</v>
      </c>
      <c r="K137" s="4" t="s">
        <v>18</v>
      </c>
      <c r="L137" s="4" t="s">
        <v>25</v>
      </c>
      <c r="M137" s="4" t="s">
        <v>44</v>
      </c>
      <c r="N137" s="4" t="s">
        <v>21</v>
      </c>
      <c r="O137" s="4" t="s">
        <v>67</v>
      </c>
    </row>
    <row r="138" spans="2:15" ht="21" customHeight="1" x14ac:dyDescent="0.3">
      <c r="B138" s="11" t="s">
        <v>14</v>
      </c>
      <c r="C138" s="12">
        <v>11</v>
      </c>
      <c r="D138" s="13" t="s">
        <v>61</v>
      </c>
      <c r="E138" s="11" t="s">
        <v>16</v>
      </c>
      <c r="F138" s="11" t="s">
        <v>24</v>
      </c>
      <c r="G138" s="14">
        <v>3</v>
      </c>
      <c r="H138" s="15">
        <v>15000000</v>
      </c>
      <c r="I138" s="11">
        <v>1</v>
      </c>
      <c r="J138" s="16">
        <v>1.3888888888888889E-3</v>
      </c>
      <c r="K138" s="11" t="s">
        <v>18</v>
      </c>
      <c r="L138" s="11" t="s">
        <v>43</v>
      </c>
      <c r="M138" s="11" t="s">
        <v>52</v>
      </c>
      <c r="N138" s="11" t="s">
        <v>39</v>
      </c>
      <c r="O138" s="11" t="s">
        <v>40</v>
      </c>
    </row>
    <row r="139" spans="2:15" ht="21" customHeight="1" x14ac:dyDescent="0.3">
      <c r="B139" s="4" t="s">
        <v>14</v>
      </c>
      <c r="C139" s="5">
        <v>1</v>
      </c>
      <c r="D139" s="6" t="s">
        <v>15</v>
      </c>
      <c r="E139" s="4" t="s">
        <v>16</v>
      </c>
      <c r="F139" s="4" t="s">
        <v>17</v>
      </c>
      <c r="G139" s="7">
        <v>1</v>
      </c>
      <c r="H139" s="1">
        <v>19000000</v>
      </c>
      <c r="I139" s="4">
        <v>1</v>
      </c>
      <c r="J139" s="8">
        <v>1.3888888888888889E-3</v>
      </c>
      <c r="K139" s="4" t="s">
        <v>50</v>
      </c>
      <c r="L139" s="4" t="s">
        <v>43</v>
      </c>
      <c r="M139" s="4" t="s">
        <v>47</v>
      </c>
      <c r="N139" s="4" t="s">
        <v>21</v>
      </c>
      <c r="O139" s="4" t="s">
        <v>70</v>
      </c>
    </row>
    <row r="140" spans="2:15" ht="21" customHeight="1" x14ac:dyDescent="0.3">
      <c r="B140" s="11" t="s">
        <v>14</v>
      </c>
      <c r="C140" s="12">
        <v>1</v>
      </c>
      <c r="D140" s="13" t="s">
        <v>15</v>
      </c>
      <c r="E140" s="11" t="s">
        <v>42</v>
      </c>
      <c r="F140" s="11" t="s">
        <v>24</v>
      </c>
      <c r="G140" s="14">
        <v>4</v>
      </c>
      <c r="H140" s="15">
        <v>20000000</v>
      </c>
      <c r="I140" s="11">
        <v>3</v>
      </c>
      <c r="J140" s="16">
        <v>1.3888888888888889E-3</v>
      </c>
      <c r="K140" s="11" t="s">
        <v>65</v>
      </c>
      <c r="L140" s="11" t="s">
        <v>43</v>
      </c>
      <c r="M140" s="11" t="s">
        <v>52</v>
      </c>
      <c r="N140" s="11" t="s">
        <v>39</v>
      </c>
      <c r="O140" s="11" t="s">
        <v>71</v>
      </c>
    </row>
    <row r="141" spans="2:15" ht="21" customHeight="1" x14ac:dyDescent="0.3">
      <c r="B141" s="4" t="s">
        <v>14</v>
      </c>
      <c r="C141" s="5">
        <v>1</v>
      </c>
      <c r="D141" s="6" t="s">
        <v>15</v>
      </c>
      <c r="E141" s="4" t="s">
        <v>16</v>
      </c>
      <c r="F141" s="4" t="s">
        <v>46</v>
      </c>
      <c r="G141" s="7">
        <v>3</v>
      </c>
      <c r="H141" s="1">
        <v>15000000</v>
      </c>
      <c r="I141" s="4">
        <v>1</v>
      </c>
      <c r="J141" s="8">
        <v>1.3888888888888889E-3</v>
      </c>
      <c r="K141" s="4" t="s">
        <v>18</v>
      </c>
      <c r="L141" s="4" t="s">
        <v>60</v>
      </c>
      <c r="M141" s="4" t="s">
        <v>55</v>
      </c>
      <c r="N141" s="4" t="s">
        <v>36</v>
      </c>
      <c r="O141" s="4" t="s">
        <v>37</v>
      </c>
    </row>
    <row r="142" spans="2:15" ht="21" customHeight="1" x14ac:dyDescent="0.3">
      <c r="B142" s="11" t="s">
        <v>14</v>
      </c>
      <c r="C142" s="12">
        <v>1</v>
      </c>
      <c r="D142" s="13" t="s">
        <v>63</v>
      </c>
      <c r="E142" s="11" t="s">
        <v>16</v>
      </c>
      <c r="F142" s="11" t="s">
        <v>17</v>
      </c>
      <c r="G142" s="14">
        <v>4</v>
      </c>
      <c r="H142" s="15">
        <v>20000000</v>
      </c>
      <c r="I142" s="11">
        <v>4</v>
      </c>
      <c r="J142" s="16">
        <v>1.3888888888888889E-3</v>
      </c>
      <c r="K142" s="11" t="s">
        <v>65</v>
      </c>
      <c r="L142" s="11" t="s">
        <v>43</v>
      </c>
      <c r="M142" s="11" t="s">
        <v>26</v>
      </c>
      <c r="N142" s="11" t="s">
        <v>21</v>
      </c>
      <c r="O142" s="11" t="s">
        <v>66</v>
      </c>
    </row>
    <row r="143" spans="2:15" ht="21" customHeight="1" x14ac:dyDescent="0.3">
      <c r="B143" s="4" t="s">
        <v>14</v>
      </c>
      <c r="C143" s="5">
        <v>4</v>
      </c>
      <c r="D143" s="6" t="s">
        <v>63</v>
      </c>
      <c r="E143" s="4" t="s">
        <v>77</v>
      </c>
      <c r="F143" s="4" t="s">
        <v>17</v>
      </c>
      <c r="G143" s="7">
        <v>3</v>
      </c>
      <c r="H143" s="1">
        <v>15000000</v>
      </c>
      <c r="I143" s="4">
        <v>1</v>
      </c>
      <c r="J143" s="8">
        <v>1.3888888888888889E-3</v>
      </c>
      <c r="K143" s="4" t="s">
        <v>18</v>
      </c>
      <c r="L143" s="4" t="s">
        <v>38</v>
      </c>
      <c r="M143" s="4" t="s">
        <v>47</v>
      </c>
      <c r="N143" s="4" t="s">
        <v>27</v>
      </c>
      <c r="O143" s="4" t="s">
        <v>33</v>
      </c>
    </row>
    <row r="144" spans="2:15" ht="21" customHeight="1" x14ac:dyDescent="0.3">
      <c r="B144" s="11" t="s">
        <v>14</v>
      </c>
      <c r="C144" s="12">
        <v>11</v>
      </c>
      <c r="D144" s="13" t="s">
        <v>63</v>
      </c>
      <c r="E144" s="11" t="s">
        <v>42</v>
      </c>
      <c r="F144" s="11" t="s">
        <v>24</v>
      </c>
      <c r="G144" s="14">
        <v>5</v>
      </c>
      <c r="H144" s="15">
        <v>25000000</v>
      </c>
      <c r="I144" s="11">
        <v>4</v>
      </c>
      <c r="J144" s="16">
        <v>1.3888888888888889E-3</v>
      </c>
      <c r="K144" s="11" t="s">
        <v>18</v>
      </c>
      <c r="L144" s="11" t="s">
        <v>31</v>
      </c>
      <c r="M144" s="11" t="s">
        <v>47</v>
      </c>
      <c r="N144" s="11" t="s">
        <v>27</v>
      </c>
      <c r="O144" s="11" t="s">
        <v>56</v>
      </c>
    </row>
    <row r="145" spans="2:15" ht="21" customHeight="1" x14ac:dyDescent="0.3">
      <c r="B145" s="4" t="s">
        <v>14</v>
      </c>
      <c r="C145" s="5">
        <v>12</v>
      </c>
      <c r="D145" s="6" t="s">
        <v>76</v>
      </c>
      <c r="E145" s="4" t="s">
        <v>42</v>
      </c>
      <c r="F145" s="4" t="s">
        <v>24</v>
      </c>
      <c r="G145" s="7">
        <v>2</v>
      </c>
      <c r="H145" s="1">
        <v>12000000</v>
      </c>
      <c r="I145" s="4">
        <v>4</v>
      </c>
      <c r="J145" s="8">
        <v>1.3888888888888889E-3</v>
      </c>
      <c r="K145" s="4" t="s">
        <v>18</v>
      </c>
      <c r="L145" s="4" t="s">
        <v>38</v>
      </c>
      <c r="M145" s="4" t="s">
        <v>26</v>
      </c>
      <c r="N145" s="4" t="s">
        <v>36</v>
      </c>
      <c r="O145" s="4" t="s">
        <v>58</v>
      </c>
    </row>
    <row r="146" spans="2:15" ht="21" customHeight="1" x14ac:dyDescent="0.3">
      <c r="B146" s="11" t="s">
        <v>14</v>
      </c>
      <c r="C146" s="12">
        <v>31</v>
      </c>
      <c r="D146" s="13" t="s">
        <v>23</v>
      </c>
      <c r="E146" s="11" t="s">
        <v>16</v>
      </c>
      <c r="F146" s="11" t="s">
        <v>24</v>
      </c>
      <c r="G146" s="14">
        <v>1</v>
      </c>
      <c r="H146" s="15">
        <v>19000000</v>
      </c>
      <c r="I146" s="11">
        <v>3</v>
      </c>
      <c r="J146" s="16">
        <v>1.3888888888888889E-3</v>
      </c>
      <c r="K146" s="11" t="s">
        <v>50</v>
      </c>
      <c r="L146" s="11" t="s">
        <v>60</v>
      </c>
      <c r="M146" s="11" t="s">
        <v>26</v>
      </c>
      <c r="N146" s="11" t="s">
        <v>27</v>
      </c>
      <c r="O146" s="11" t="s">
        <v>56</v>
      </c>
    </row>
    <row r="147" spans="2:15" ht="21" customHeight="1" x14ac:dyDescent="0.3">
      <c r="B147" s="4" t="s">
        <v>14</v>
      </c>
      <c r="C147" s="5">
        <v>2</v>
      </c>
      <c r="D147" s="6" t="s">
        <v>23</v>
      </c>
      <c r="E147" s="4" t="s">
        <v>30</v>
      </c>
      <c r="F147" s="4" t="s">
        <v>49</v>
      </c>
      <c r="G147" s="7">
        <v>2</v>
      </c>
      <c r="H147" s="1">
        <v>12000000</v>
      </c>
      <c r="I147" s="4">
        <v>2</v>
      </c>
      <c r="J147" s="8">
        <v>1.3888888888888889E-3</v>
      </c>
      <c r="K147" s="4" t="s">
        <v>18</v>
      </c>
      <c r="L147" s="4" t="s">
        <v>60</v>
      </c>
      <c r="M147" s="4" t="s">
        <v>32</v>
      </c>
      <c r="N147" s="4" t="s">
        <v>21</v>
      </c>
      <c r="O147" s="4" t="s">
        <v>70</v>
      </c>
    </row>
    <row r="148" spans="2:15" ht="21" customHeight="1" x14ac:dyDescent="0.3">
      <c r="B148" s="11" t="s">
        <v>14</v>
      </c>
      <c r="C148" s="12">
        <v>9</v>
      </c>
      <c r="D148" s="13" t="s">
        <v>23</v>
      </c>
      <c r="E148" s="11" t="s">
        <v>16</v>
      </c>
      <c r="F148" s="11" t="s">
        <v>46</v>
      </c>
      <c r="G148" s="14">
        <v>3</v>
      </c>
      <c r="H148" s="15">
        <v>12000000</v>
      </c>
      <c r="I148" s="11">
        <v>5</v>
      </c>
      <c r="J148" s="16">
        <v>1.3888888888888889E-3</v>
      </c>
      <c r="K148" s="11" t="s">
        <v>18</v>
      </c>
      <c r="L148" s="11" t="s">
        <v>68</v>
      </c>
      <c r="M148" s="11" t="s">
        <v>44</v>
      </c>
      <c r="N148" s="11" t="s">
        <v>27</v>
      </c>
      <c r="O148" s="11" t="s">
        <v>56</v>
      </c>
    </row>
    <row r="149" spans="2:15" ht="21" customHeight="1" x14ac:dyDescent="0.3">
      <c r="B149" s="4" t="s">
        <v>14</v>
      </c>
      <c r="C149" s="5">
        <v>25</v>
      </c>
      <c r="D149" s="6" t="s">
        <v>23</v>
      </c>
      <c r="E149" s="4" t="s">
        <v>34</v>
      </c>
      <c r="F149" s="4" t="s">
        <v>46</v>
      </c>
      <c r="G149" s="7">
        <v>2</v>
      </c>
      <c r="H149" s="1">
        <v>10000000</v>
      </c>
      <c r="I149" s="4">
        <v>4</v>
      </c>
      <c r="J149" s="8">
        <v>1.3888888888888889E-3</v>
      </c>
      <c r="K149" s="4" t="s">
        <v>18</v>
      </c>
      <c r="L149" s="4" t="s">
        <v>68</v>
      </c>
      <c r="M149" s="4" t="s">
        <v>35</v>
      </c>
      <c r="N149" s="4" t="s">
        <v>27</v>
      </c>
      <c r="O149" s="4" t="s">
        <v>33</v>
      </c>
    </row>
    <row r="150" spans="2:15" ht="21" customHeight="1" x14ac:dyDescent="0.3">
      <c r="B150" s="11" t="s">
        <v>14</v>
      </c>
      <c r="C150" s="12">
        <v>9</v>
      </c>
      <c r="D150" s="13" t="s">
        <v>23</v>
      </c>
      <c r="E150" s="11" t="s">
        <v>16</v>
      </c>
      <c r="F150" s="11" t="s">
        <v>46</v>
      </c>
      <c r="G150" s="14">
        <v>2</v>
      </c>
      <c r="H150" s="15">
        <v>12000000</v>
      </c>
      <c r="I150" s="11">
        <v>1</v>
      </c>
      <c r="J150" s="16">
        <v>1.3888888888888889E-3</v>
      </c>
      <c r="K150" s="11" t="s">
        <v>18</v>
      </c>
      <c r="L150" s="11" t="s">
        <v>51</v>
      </c>
      <c r="M150" s="11" t="s">
        <v>44</v>
      </c>
      <c r="N150" s="11" t="s">
        <v>21</v>
      </c>
      <c r="O150" s="11" t="s">
        <v>67</v>
      </c>
    </row>
    <row r="151" spans="2:15" ht="21" customHeight="1" x14ac:dyDescent="0.3">
      <c r="B151" s="4" t="s">
        <v>14</v>
      </c>
      <c r="C151" s="5">
        <v>10</v>
      </c>
      <c r="D151" s="6" t="s">
        <v>23</v>
      </c>
      <c r="E151" s="4" t="s">
        <v>34</v>
      </c>
      <c r="F151" s="4" t="s">
        <v>46</v>
      </c>
      <c r="G151" s="7">
        <v>3</v>
      </c>
      <c r="H151" s="1">
        <v>15000000</v>
      </c>
      <c r="I151" s="4">
        <v>1</v>
      </c>
      <c r="J151" s="8">
        <v>1.3888888888888889E-3</v>
      </c>
      <c r="K151" s="4" t="s">
        <v>18</v>
      </c>
      <c r="L151" s="4" t="s">
        <v>60</v>
      </c>
      <c r="M151" s="4" t="s">
        <v>44</v>
      </c>
      <c r="N151" s="4" t="s">
        <v>27</v>
      </c>
      <c r="O151" s="4" t="s">
        <v>56</v>
      </c>
    </row>
    <row r="152" spans="2:15" ht="21" customHeight="1" x14ac:dyDescent="0.3">
      <c r="B152" s="11" t="s">
        <v>14</v>
      </c>
      <c r="C152" s="12">
        <v>14</v>
      </c>
      <c r="D152" s="13" t="s">
        <v>23</v>
      </c>
      <c r="E152" s="11" t="s">
        <v>53</v>
      </c>
      <c r="F152" s="11" t="s">
        <v>24</v>
      </c>
      <c r="G152" s="14">
        <v>4</v>
      </c>
      <c r="H152" s="15">
        <v>20000000</v>
      </c>
      <c r="I152" s="11">
        <v>3</v>
      </c>
      <c r="J152" s="16">
        <v>1.3888888888888889E-3</v>
      </c>
      <c r="K152" s="11" t="s">
        <v>18</v>
      </c>
      <c r="L152" s="11" t="s">
        <v>31</v>
      </c>
      <c r="M152" s="11" t="s">
        <v>20</v>
      </c>
      <c r="N152" s="11" t="s">
        <v>21</v>
      </c>
      <c r="O152" s="11" t="s">
        <v>67</v>
      </c>
    </row>
    <row r="153" spans="2:15" ht="21" customHeight="1" x14ac:dyDescent="0.3">
      <c r="B153" s="4" t="s">
        <v>14</v>
      </c>
      <c r="C153" s="5">
        <v>10</v>
      </c>
      <c r="D153" s="6" t="s">
        <v>29</v>
      </c>
      <c r="E153" s="4" t="s">
        <v>30</v>
      </c>
      <c r="F153" s="4" t="s">
        <v>49</v>
      </c>
      <c r="G153" s="7">
        <v>4</v>
      </c>
      <c r="H153" s="1">
        <v>11000000</v>
      </c>
      <c r="I153" s="4">
        <v>1</v>
      </c>
      <c r="J153" s="8">
        <v>1.3888888888888889E-3</v>
      </c>
      <c r="K153" s="4" t="s">
        <v>65</v>
      </c>
      <c r="L153" s="4" t="s">
        <v>19</v>
      </c>
      <c r="M153" s="4" t="s">
        <v>47</v>
      </c>
      <c r="N153" s="4" t="s">
        <v>36</v>
      </c>
      <c r="O153" s="4" t="s">
        <v>37</v>
      </c>
    </row>
    <row r="154" spans="2:15" ht="21" customHeight="1" x14ac:dyDescent="0.3">
      <c r="B154" s="11" t="s">
        <v>14</v>
      </c>
      <c r="C154" s="12">
        <v>27</v>
      </c>
      <c r="D154" s="13" t="s">
        <v>29</v>
      </c>
      <c r="E154" s="11" t="s">
        <v>34</v>
      </c>
      <c r="F154" s="11" t="s">
        <v>17</v>
      </c>
      <c r="G154" s="14">
        <v>3</v>
      </c>
      <c r="H154" s="15">
        <v>12000000</v>
      </c>
      <c r="I154" s="11">
        <v>3</v>
      </c>
      <c r="J154" s="16">
        <v>1.3888888888888889E-3</v>
      </c>
      <c r="K154" s="11" t="s">
        <v>18</v>
      </c>
      <c r="L154" s="11" t="s">
        <v>31</v>
      </c>
      <c r="M154" s="11" t="s">
        <v>32</v>
      </c>
      <c r="N154" s="11" t="s">
        <v>21</v>
      </c>
      <c r="O154" s="11" t="s">
        <v>66</v>
      </c>
    </row>
    <row r="155" spans="2:15" ht="21" customHeight="1" x14ac:dyDescent="0.3">
      <c r="B155" s="4" t="s">
        <v>14</v>
      </c>
      <c r="C155" s="5">
        <v>28</v>
      </c>
      <c r="D155" s="6" t="s">
        <v>29</v>
      </c>
      <c r="E155" s="4" t="s">
        <v>16</v>
      </c>
      <c r="F155" s="4" t="s">
        <v>46</v>
      </c>
      <c r="G155" s="7">
        <v>3</v>
      </c>
      <c r="H155" s="1">
        <v>15000000</v>
      </c>
      <c r="I155" s="4">
        <v>1</v>
      </c>
      <c r="J155" s="8">
        <v>1.3888888888888889E-3</v>
      </c>
      <c r="K155" s="4" t="s">
        <v>18</v>
      </c>
      <c r="L155" s="4" t="s">
        <v>31</v>
      </c>
      <c r="M155" s="4" t="s">
        <v>52</v>
      </c>
      <c r="N155" s="4" t="s">
        <v>27</v>
      </c>
      <c r="O155" s="4" t="s">
        <v>33</v>
      </c>
    </row>
    <row r="156" spans="2:15" ht="21" customHeight="1" x14ac:dyDescent="0.3">
      <c r="B156" s="11" t="s">
        <v>14</v>
      </c>
      <c r="C156" s="12">
        <v>28</v>
      </c>
      <c r="D156" s="13" t="s">
        <v>29</v>
      </c>
      <c r="E156" s="11" t="s">
        <v>16</v>
      </c>
      <c r="F156" s="11" t="s">
        <v>46</v>
      </c>
      <c r="G156" s="14">
        <v>5</v>
      </c>
      <c r="H156" s="15">
        <v>25000000</v>
      </c>
      <c r="I156" s="11">
        <v>2</v>
      </c>
      <c r="J156" s="16">
        <v>1.3888888888888889E-3</v>
      </c>
      <c r="K156" s="11" t="s">
        <v>18</v>
      </c>
      <c r="L156" s="11" t="s">
        <v>38</v>
      </c>
      <c r="M156" s="11" t="s">
        <v>32</v>
      </c>
      <c r="N156" s="11" t="s">
        <v>27</v>
      </c>
      <c r="O156" s="11" t="s">
        <v>28</v>
      </c>
    </row>
    <row r="157" spans="2:15" ht="21" customHeight="1" x14ac:dyDescent="0.3">
      <c r="B157" s="4" t="s">
        <v>14</v>
      </c>
      <c r="C157" s="5">
        <v>29</v>
      </c>
      <c r="D157" s="6" t="s">
        <v>29</v>
      </c>
      <c r="E157" s="4" t="s">
        <v>34</v>
      </c>
      <c r="F157" s="4" t="s">
        <v>24</v>
      </c>
      <c r="G157" s="7">
        <v>1</v>
      </c>
      <c r="H157" s="1">
        <v>7000000</v>
      </c>
      <c r="I157" s="4">
        <v>3</v>
      </c>
      <c r="J157" s="8">
        <v>1.3888888888888889E-3</v>
      </c>
      <c r="K157" s="4" t="s">
        <v>18</v>
      </c>
      <c r="L157" s="4" t="s">
        <v>43</v>
      </c>
      <c r="M157" s="4" t="s">
        <v>35</v>
      </c>
      <c r="N157" s="4" t="s">
        <v>39</v>
      </c>
      <c r="O157" s="4" t="s">
        <v>71</v>
      </c>
    </row>
    <row r="158" spans="2:15" ht="21" customHeight="1" x14ac:dyDescent="0.3">
      <c r="B158" s="11" t="s">
        <v>14</v>
      </c>
      <c r="C158" s="12">
        <v>30</v>
      </c>
      <c r="D158" s="13" t="s">
        <v>29</v>
      </c>
      <c r="E158" s="11" t="s">
        <v>77</v>
      </c>
      <c r="F158" s="11" t="s">
        <v>24</v>
      </c>
      <c r="G158" s="14">
        <v>2</v>
      </c>
      <c r="H158" s="15">
        <v>12000000</v>
      </c>
      <c r="I158" s="11">
        <v>4</v>
      </c>
      <c r="J158" s="16">
        <v>1.3888888888888889E-3</v>
      </c>
      <c r="K158" s="11" t="s">
        <v>18</v>
      </c>
      <c r="L158" s="11" t="s">
        <v>31</v>
      </c>
      <c r="M158" s="11" t="s">
        <v>32</v>
      </c>
      <c r="N158" s="11" t="s">
        <v>21</v>
      </c>
      <c r="O158" s="11" t="s">
        <v>57</v>
      </c>
    </row>
    <row r="159" spans="2:15" ht="21" customHeight="1" x14ac:dyDescent="0.3">
      <c r="B159" s="4" t="s">
        <v>14</v>
      </c>
      <c r="C159" s="5">
        <v>11</v>
      </c>
      <c r="D159" s="6" t="s">
        <v>29</v>
      </c>
      <c r="E159" s="4" t="s">
        <v>42</v>
      </c>
      <c r="F159" s="4" t="s">
        <v>46</v>
      </c>
      <c r="G159" s="7">
        <v>3</v>
      </c>
      <c r="H159" s="1">
        <v>15000000</v>
      </c>
      <c r="I159" s="4">
        <v>1</v>
      </c>
      <c r="J159" s="8">
        <v>1.3888888888888889E-3</v>
      </c>
      <c r="K159" s="4" t="s">
        <v>18</v>
      </c>
      <c r="L159" s="4" t="s">
        <v>19</v>
      </c>
      <c r="M159" s="4" t="s">
        <v>35</v>
      </c>
      <c r="N159" s="4" t="s">
        <v>39</v>
      </c>
      <c r="O159" s="4" t="s">
        <v>71</v>
      </c>
    </row>
    <row r="160" spans="2:15" ht="21" customHeight="1" x14ac:dyDescent="0.3">
      <c r="B160" s="11" t="s">
        <v>14</v>
      </c>
      <c r="C160" s="12">
        <v>15</v>
      </c>
      <c r="D160" s="13" t="s">
        <v>29</v>
      </c>
      <c r="E160" s="11" t="s">
        <v>30</v>
      </c>
      <c r="F160" s="11" t="s">
        <v>24</v>
      </c>
      <c r="G160" s="14">
        <v>4</v>
      </c>
      <c r="H160" s="15">
        <v>15000000</v>
      </c>
      <c r="I160" s="11">
        <v>3</v>
      </c>
      <c r="J160" s="16">
        <v>1.3888888888888889E-3</v>
      </c>
      <c r="K160" s="11" t="s">
        <v>18</v>
      </c>
      <c r="L160" s="11" t="s">
        <v>31</v>
      </c>
      <c r="M160" s="11" t="s">
        <v>47</v>
      </c>
      <c r="N160" s="11" t="s">
        <v>21</v>
      </c>
      <c r="O160" s="11" t="s">
        <v>66</v>
      </c>
    </row>
    <row r="161" spans="2:15" ht="21" customHeight="1" x14ac:dyDescent="0.3">
      <c r="B161" s="4" t="s">
        <v>14</v>
      </c>
      <c r="C161" s="5">
        <v>20</v>
      </c>
      <c r="D161" s="6" t="s">
        <v>41</v>
      </c>
      <c r="E161" s="4" t="s">
        <v>34</v>
      </c>
      <c r="F161" s="4" t="s">
        <v>24</v>
      </c>
      <c r="G161" s="7">
        <v>2</v>
      </c>
      <c r="H161" s="1">
        <v>38000000</v>
      </c>
      <c r="I161" s="4">
        <v>1</v>
      </c>
      <c r="J161" s="8">
        <v>1.3888888888888889E-3</v>
      </c>
      <c r="K161" s="4" t="s">
        <v>78</v>
      </c>
      <c r="L161" s="4" t="s">
        <v>19</v>
      </c>
      <c r="M161" s="4" t="s">
        <v>47</v>
      </c>
      <c r="N161" s="4" t="s">
        <v>39</v>
      </c>
      <c r="O161" s="4" t="s">
        <v>71</v>
      </c>
    </row>
    <row r="162" spans="2:15" ht="21" customHeight="1" x14ac:dyDescent="0.3">
      <c r="B162" s="11" t="s">
        <v>14</v>
      </c>
      <c r="C162" s="12">
        <v>8</v>
      </c>
      <c r="D162" s="13" t="s">
        <v>41</v>
      </c>
      <c r="E162" s="11" t="s">
        <v>42</v>
      </c>
      <c r="F162" s="11" t="s">
        <v>49</v>
      </c>
      <c r="G162" s="14">
        <v>2</v>
      </c>
      <c r="H162" s="15">
        <v>38000000</v>
      </c>
      <c r="I162" s="11">
        <v>4</v>
      </c>
      <c r="J162" s="16">
        <v>1.3888888888888889E-3</v>
      </c>
      <c r="K162" s="11" t="s">
        <v>50</v>
      </c>
      <c r="L162" s="11" t="s">
        <v>19</v>
      </c>
      <c r="M162" s="11" t="s">
        <v>35</v>
      </c>
      <c r="N162" s="11" t="s">
        <v>39</v>
      </c>
      <c r="O162" s="11" t="s">
        <v>71</v>
      </c>
    </row>
    <row r="163" spans="2:15" ht="21" customHeight="1" x14ac:dyDescent="0.3">
      <c r="B163" s="4" t="s">
        <v>14</v>
      </c>
      <c r="C163" s="5">
        <v>27</v>
      </c>
      <c r="D163" s="6" t="s">
        <v>41</v>
      </c>
      <c r="E163" s="4" t="s">
        <v>16</v>
      </c>
      <c r="F163" s="4" t="s">
        <v>72</v>
      </c>
      <c r="G163" s="7">
        <v>2</v>
      </c>
      <c r="H163" s="1">
        <v>38000000</v>
      </c>
      <c r="I163" s="4">
        <v>1</v>
      </c>
      <c r="J163" s="8">
        <v>1.3888888888888889E-3</v>
      </c>
      <c r="K163" s="4" t="s">
        <v>50</v>
      </c>
      <c r="L163" s="4" t="s">
        <v>38</v>
      </c>
      <c r="M163" s="4" t="s">
        <v>52</v>
      </c>
      <c r="N163" s="4" t="s">
        <v>39</v>
      </c>
      <c r="O163" s="4" t="s">
        <v>71</v>
      </c>
    </row>
    <row r="164" spans="2:15" ht="21" customHeight="1" x14ac:dyDescent="0.3">
      <c r="B164" s="11" t="s">
        <v>14</v>
      </c>
      <c r="C164" s="12">
        <v>5</v>
      </c>
      <c r="D164" s="13" t="s">
        <v>41</v>
      </c>
      <c r="E164" s="11" t="s">
        <v>53</v>
      </c>
      <c r="F164" s="11" t="s">
        <v>24</v>
      </c>
      <c r="G164" s="14">
        <v>4</v>
      </c>
      <c r="H164" s="15">
        <v>15000000</v>
      </c>
      <c r="I164" s="11">
        <v>1</v>
      </c>
      <c r="J164" s="16">
        <v>1.3888888888888889E-3</v>
      </c>
      <c r="K164" s="11" t="s">
        <v>18</v>
      </c>
      <c r="L164" s="11" t="s">
        <v>19</v>
      </c>
      <c r="M164" s="11" t="s">
        <v>35</v>
      </c>
      <c r="N164" s="11" t="s">
        <v>39</v>
      </c>
      <c r="O164" s="11" t="s">
        <v>40</v>
      </c>
    </row>
    <row r="165" spans="2:15" ht="21" customHeight="1" x14ac:dyDescent="0.3">
      <c r="B165" s="4" t="s">
        <v>14</v>
      </c>
      <c r="C165" s="5">
        <v>27</v>
      </c>
      <c r="D165" s="6" t="s">
        <v>41</v>
      </c>
      <c r="E165" s="4" t="s">
        <v>30</v>
      </c>
      <c r="F165" s="4" t="s">
        <v>24</v>
      </c>
      <c r="G165" s="7">
        <v>4</v>
      </c>
      <c r="H165" s="1">
        <v>15000000</v>
      </c>
      <c r="I165" s="4">
        <v>1</v>
      </c>
      <c r="J165" s="8">
        <v>1.3888888888888889E-3</v>
      </c>
      <c r="K165" s="4" t="s">
        <v>18</v>
      </c>
      <c r="L165" s="4" t="s">
        <v>19</v>
      </c>
      <c r="M165" s="4" t="s">
        <v>20</v>
      </c>
      <c r="N165" s="4" t="s">
        <v>36</v>
      </c>
      <c r="O165" s="4" t="s">
        <v>58</v>
      </c>
    </row>
    <row r="166" spans="2:15" ht="21" customHeight="1" x14ac:dyDescent="0.3">
      <c r="B166" s="11" t="s">
        <v>14</v>
      </c>
      <c r="C166" s="12">
        <v>30</v>
      </c>
      <c r="D166" s="13" t="s">
        <v>41</v>
      </c>
      <c r="E166" s="11" t="s">
        <v>42</v>
      </c>
      <c r="F166" s="11" t="s">
        <v>24</v>
      </c>
      <c r="G166" s="14">
        <v>3</v>
      </c>
      <c r="H166" s="15">
        <v>15000000</v>
      </c>
      <c r="I166" s="11">
        <v>1</v>
      </c>
      <c r="J166" s="16">
        <v>1.3888888888888889E-3</v>
      </c>
      <c r="K166" s="11" t="s">
        <v>18</v>
      </c>
      <c r="L166" s="11" t="s">
        <v>51</v>
      </c>
      <c r="M166" s="11" t="s">
        <v>20</v>
      </c>
      <c r="N166" s="11" t="s">
        <v>36</v>
      </c>
      <c r="O166" s="11" t="s">
        <v>58</v>
      </c>
    </row>
    <row r="167" spans="2:15" ht="21" customHeight="1" x14ac:dyDescent="0.3">
      <c r="B167" s="4" t="s">
        <v>14</v>
      </c>
      <c r="C167" s="5">
        <v>1</v>
      </c>
      <c r="D167" s="6" t="s">
        <v>41</v>
      </c>
      <c r="E167" s="4" t="s">
        <v>42</v>
      </c>
      <c r="F167" s="4" t="s">
        <v>46</v>
      </c>
      <c r="G167" s="7">
        <v>2</v>
      </c>
      <c r="H167" s="1">
        <v>10000000</v>
      </c>
      <c r="I167" s="4">
        <v>1</v>
      </c>
      <c r="J167" s="8">
        <v>1.3888888888888889E-3</v>
      </c>
      <c r="K167" s="4" t="s">
        <v>18</v>
      </c>
      <c r="L167" s="4" t="s">
        <v>43</v>
      </c>
      <c r="M167" s="4" t="s">
        <v>47</v>
      </c>
      <c r="N167" s="4" t="s">
        <v>21</v>
      </c>
      <c r="O167" s="4" t="s">
        <v>70</v>
      </c>
    </row>
    <row r="168" spans="2:15" ht="21" customHeight="1" x14ac:dyDescent="0.3">
      <c r="B168" s="11" t="s">
        <v>14</v>
      </c>
      <c r="C168" s="12">
        <v>2</v>
      </c>
      <c r="D168" s="13" t="s">
        <v>41</v>
      </c>
      <c r="E168" s="11" t="s">
        <v>16</v>
      </c>
      <c r="F168" s="11" t="s">
        <v>46</v>
      </c>
      <c r="G168" s="14">
        <v>3</v>
      </c>
      <c r="H168" s="15">
        <v>11000000</v>
      </c>
      <c r="I168" s="11">
        <v>1</v>
      </c>
      <c r="J168" s="16">
        <v>1.3888888888888889E-3</v>
      </c>
      <c r="K168" s="11" t="s">
        <v>18</v>
      </c>
      <c r="L168" s="11" t="s">
        <v>51</v>
      </c>
      <c r="M168" s="11" t="s">
        <v>55</v>
      </c>
      <c r="N168" s="11" t="s">
        <v>36</v>
      </c>
      <c r="O168" s="11" t="s">
        <v>58</v>
      </c>
    </row>
    <row r="169" spans="2:15" ht="21" customHeight="1" x14ac:dyDescent="0.3">
      <c r="B169" s="4" t="s">
        <v>14</v>
      </c>
      <c r="C169" s="5">
        <v>6</v>
      </c>
      <c r="D169" s="6" t="s">
        <v>41</v>
      </c>
      <c r="E169" s="4" t="s">
        <v>16</v>
      </c>
      <c r="F169" s="4" t="s">
        <v>24</v>
      </c>
      <c r="G169" s="7">
        <v>5</v>
      </c>
      <c r="H169" s="1">
        <v>20000000</v>
      </c>
      <c r="I169" s="4">
        <v>1</v>
      </c>
      <c r="J169" s="8">
        <v>1.3888888888888889E-3</v>
      </c>
      <c r="K169" s="4" t="s">
        <v>18</v>
      </c>
      <c r="L169" s="4" t="s">
        <v>31</v>
      </c>
      <c r="M169" s="4" t="s">
        <v>55</v>
      </c>
      <c r="N169" s="4" t="s">
        <v>39</v>
      </c>
      <c r="O169" s="4" t="s">
        <v>40</v>
      </c>
    </row>
    <row r="170" spans="2:15" ht="21" customHeight="1" x14ac:dyDescent="0.3">
      <c r="B170" s="11" t="s">
        <v>14</v>
      </c>
      <c r="C170" s="12">
        <v>29</v>
      </c>
      <c r="D170" s="13" t="s">
        <v>41</v>
      </c>
      <c r="E170" s="11" t="s">
        <v>42</v>
      </c>
      <c r="F170" s="11" t="s">
        <v>17</v>
      </c>
      <c r="G170" s="14">
        <v>5</v>
      </c>
      <c r="H170" s="15">
        <v>25000000</v>
      </c>
      <c r="I170" s="11">
        <v>6</v>
      </c>
      <c r="J170" s="16">
        <v>1.3888888888888889E-3</v>
      </c>
      <c r="K170" s="11" t="s">
        <v>18</v>
      </c>
      <c r="L170" s="11" t="s">
        <v>19</v>
      </c>
      <c r="M170" s="11" t="s">
        <v>55</v>
      </c>
      <c r="N170" s="11" t="s">
        <v>21</v>
      </c>
      <c r="O170" s="11" t="s">
        <v>22</v>
      </c>
    </row>
    <row r="171" spans="2:15" ht="21" customHeight="1" x14ac:dyDescent="0.3">
      <c r="B171" s="4" t="s">
        <v>14</v>
      </c>
      <c r="C171" s="5">
        <v>22</v>
      </c>
      <c r="D171" s="6" t="s">
        <v>48</v>
      </c>
      <c r="E171" s="4" t="s">
        <v>34</v>
      </c>
      <c r="F171" s="4" t="s">
        <v>46</v>
      </c>
      <c r="G171" s="7">
        <v>1</v>
      </c>
      <c r="H171" s="1">
        <v>19000000</v>
      </c>
      <c r="I171" s="4">
        <v>5</v>
      </c>
      <c r="J171" s="8">
        <v>1.3888888888888889E-3</v>
      </c>
      <c r="K171" s="4" t="s">
        <v>50</v>
      </c>
      <c r="L171" s="4" t="s">
        <v>31</v>
      </c>
      <c r="M171" s="4" t="s">
        <v>20</v>
      </c>
      <c r="N171" s="4" t="s">
        <v>21</v>
      </c>
      <c r="O171" s="4" t="s">
        <v>57</v>
      </c>
    </row>
    <row r="172" spans="2:15" ht="21" customHeight="1" x14ac:dyDescent="0.3">
      <c r="B172" s="11" t="s">
        <v>14</v>
      </c>
      <c r="C172" s="12">
        <v>22</v>
      </c>
      <c r="D172" s="13" t="s">
        <v>48</v>
      </c>
      <c r="E172" s="11" t="s">
        <v>16</v>
      </c>
      <c r="F172" s="11" t="s">
        <v>24</v>
      </c>
      <c r="G172" s="14">
        <v>4</v>
      </c>
      <c r="H172" s="15">
        <v>20000000</v>
      </c>
      <c r="I172" s="11">
        <v>4</v>
      </c>
      <c r="J172" s="16">
        <v>1.3888888888888889E-3</v>
      </c>
      <c r="K172" s="11" t="s">
        <v>65</v>
      </c>
      <c r="L172" s="11" t="s">
        <v>60</v>
      </c>
      <c r="M172" s="11" t="s">
        <v>20</v>
      </c>
      <c r="N172" s="11" t="s">
        <v>27</v>
      </c>
      <c r="O172" s="11" t="s">
        <v>56</v>
      </c>
    </row>
    <row r="173" spans="2:15" ht="21" customHeight="1" x14ac:dyDescent="0.3">
      <c r="B173" s="4" t="s">
        <v>14</v>
      </c>
      <c r="C173" s="5">
        <v>15</v>
      </c>
      <c r="D173" s="6" t="s">
        <v>48</v>
      </c>
      <c r="E173" s="4" t="s">
        <v>30</v>
      </c>
      <c r="F173" s="4" t="s">
        <v>46</v>
      </c>
      <c r="G173" s="7">
        <v>2</v>
      </c>
      <c r="H173" s="1">
        <v>12000000</v>
      </c>
      <c r="I173" s="4">
        <v>2</v>
      </c>
      <c r="J173" s="8">
        <v>1.3888888888888889E-3</v>
      </c>
      <c r="K173" s="4" t="s">
        <v>18</v>
      </c>
      <c r="L173" s="4" t="s">
        <v>31</v>
      </c>
      <c r="M173" s="4" t="s">
        <v>32</v>
      </c>
      <c r="N173" s="4" t="s">
        <v>21</v>
      </c>
      <c r="O173" s="4" t="s">
        <v>22</v>
      </c>
    </row>
    <row r="174" spans="2:15" ht="21" customHeight="1" x14ac:dyDescent="0.3">
      <c r="B174" s="11" t="s">
        <v>14</v>
      </c>
      <c r="C174" s="12">
        <v>19</v>
      </c>
      <c r="D174" s="13" t="s">
        <v>48</v>
      </c>
      <c r="E174" s="11" t="s">
        <v>16</v>
      </c>
      <c r="F174" s="11" t="s">
        <v>17</v>
      </c>
      <c r="G174" s="14">
        <v>3</v>
      </c>
      <c r="H174" s="15">
        <v>15000000</v>
      </c>
      <c r="I174" s="11">
        <v>3</v>
      </c>
      <c r="J174" s="16">
        <v>1.3888888888888889E-3</v>
      </c>
      <c r="K174" s="11" t="s">
        <v>18</v>
      </c>
      <c r="L174" s="11" t="s">
        <v>43</v>
      </c>
      <c r="M174" s="11" t="s">
        <v>32</v>
      </c>
      <c r="N174" s="11" t="s">
        <v>27</v>
      </c>
      <c r="O174" s="11" t="s">
        <v>28</v>
      </c>
    </row>
    <row r="175" spans="2:15" ht="21" customHeight="1" x14ac:dyDescent="0.3">
      <c r="B175" s="4" t="s">
        <v>14</v>
      </c>
      <c r="C175" s="5">
        <v>17</v>
      </c>
      <c r="D175" s="6" t="s">
        <v>48</v>
      </c>
      <c r="E175" s="4" t="s">
        <v>30</v>
      </c>
      <c r="F175" s="4" t="s">
        <v>46</v>
      </c>
      <c r="G175" s="7">
        <v>1</v>
      </c>
      <c r="H175" s="1">
        <v>7000000</v>
      </c>
      <c r="I175" s="4">
        <v>3</v>
      </c>
      <c r="J175" s="8">
        <v>1.3888888888888889E-3</v>
      </c>
      <c r="K175" s="4" t="s">
        <v>18</v>
      </c>
      <c r="L175" s="4" t="s">
        <v>19</v>
      </c>
      <c r="M175" s="4" t="s">
        <v>47</v>
      </c>
      <c r="N175" s="4" t="s">
        <v>21</v>
      </c>
      <c r="O175" s="4" t="s">
        <v>45</v>
      </c>
    </row>
    <row r="176" spans="2:15" ht="21" customHeight="1" x14ac:dyDescent="0.3">
      <c r="B176" s="11" t="s">
        <v>14</v>
      </c>
      <c r="C176" s="12">
        <v>19</v>
      </c>
      <c r="D176" s="13" t="s">
        <v>48</v>
      </c>
      <c r="E176" s="11" t="s">
        <v>77</v>
      </c>
      <c r="F176" s="11" t="s">
        <v>46</v>
      </c>
      <c r="G176" s="14">
        <v>2</v>
      </c>
      <c r="H176" s="15">
        <v>12000000</v>
      </c>
      <c r="I176" s="11">
        <v>1</v>
      </c>
      <c r="J176" s="16">
        <v>1.3888888888888889E-3</v>
      </c>
      <c r="K176" s="11" t="s">
        <v>18</v>
      </c>
      <c r="L176" s="11" t="s">
        <v>25</v>
      </c>
      <c r="M176" s="11" t="s">
        <v>52</v>
      </c>
      <c r="N176" s="11" t="s">
        <v>27</v>
      </c>
      <c r="O176" s="11" t="s">
        <v>33</v>
      </c>
    </row>
    <row r="177" spans="2:15" ht="21" customHeight="1" x14ac:dyDescent="0.3">
      <c r="B177" s="4" t="s">
        <v>14</v>
      </c>
      <c r="C177" s="5">
        <v>14</v>
      </c>
      <c r="D177" s="6" t="s">
        <v>48</v>
      </c>
      <c r="E177" s="4" t="s">
        <v>42</v>
      </c>
      <c r="F177" s="4" t="s">
        <v>17</v>
      </c>
      <c r="G177" s="7">
        <v>5</v>
      </c>
      <c r="H177" s="1">
        <v>25000000</v>
      </c>
      <c r="I177" s="4">
        <v>1</v>
      </c>
      <c r="J177" s="8">
        <v>1.3888888888888889E-3</v>
      </c>
      <c r="K177" s="4" t="s">
        <v>18</v>
      </c>
      <c r="L177" s="4" t="s">
        <v>43</v>
      </c>
      <c r="M177" s="4" t="s">
        <v>55</v>
      </c>
      <c r="N177" s="4" t="s">
        <v>36</v>
      </c>
      <c r="O177" s="4" t="s">
        <v>69</v>
      </c>
    </row>
    <row r="178" spans="2:15" ht="21" customHeight="1" x14ac:dyDescent="0.3">
      <c r="B178" s="11" t="s">
        <v>14</v>
      </c>
      <c r="C178" s="12">
        <v>29</v>
      </c>
      <c r="D178" s="13" t="s">
        <v>73</v>
      </c>
      <c r="E178" s="11" t="s">
        <v>30</v>
      </c>
      <c r="F178" s="11" t="s">
        <v>46</v>
      </c>
      <c r="G178" s="14">
        <v>1</v>
      </c>
      <c r="H178" s="15">
        <v>19000000</v>
      </c>
      <c r="I178" s="11">
        <v>1</v>
      </c>
      <c r="J178" s="16">
        <v>1.3888888888888889E-3</v>
      </c>
      <c r="K178" s="11" t="s">
        <v>50</v>
      </c>
      <c r="L178" s="11" t="s">
        <v>54</v>
      </c>
      <c r="M178" s="11" t="s">
        <v>20</v>
      </c>
      <c r="N178" s="11" t="s">
        <v>27</v>
      </c>
      <c r="O178" s="11" t="s">
        <v>79</v>
      </c>
    </row>
    <row r="179" spans="2:15" ht="21" customHeight="1" x14ac:dyDescent="0.3">
      <c r="B179" s="4" t="s">
        <v>14</v>
      </c>
      <c r="C179" s="5">
        <v>13</v>
      </c>
      <c r="D179" s="6" t="s">
        <v>73</v>
      </c>
      <c r="E179" s="4" t="s">
        <v>53</v>
      </c>
      <c r="F179" s="4" t="s">
        <v>46</v>
      </c>
      <c r="G179" s="7">
        <v>2</v>
      </c>
      <c r="H179" s="1">
        <v>12000000</v>
      </c>
      <c r="I179" s="4">
        <v>5</v>
      </c>
      <c r="J179" s="8">
        <v>1.3888888888888889E-3</v>
      </c>
      <c r="K179" s="4" t="s">
        <v>18</v>
      </c>
      <c r="L179" s="4" t="s">
        <v>19</v>
      </c>
      <c r="M179" s="4" t="s">
        <v>32</v>
      </c>
      <c r="N179" s="4" t="s">
        <v>21</v>
      </c>
      <c r="O179" s="4" t="s">
        <v>66</v>
      </c>
    </row>
    <row r="180" spans="2:15" ht="21" customHeight="1" x14ac:dyDescent="0.3">
      <c r="B180" s="11" t="s">
        <v>14</v>
      </c>
      <c r="C180" s="12">
        <v>26</v>
      </c>
      <c r="D180" s="13" t="s">
        <v>73</v>
      </c>
      <c r="E180" s="11" t="s">
        <v>34</v>
      </c>
      <c r="F180" s="11" t="s">
        <v>24</v>
      </c>
      <c r="G180" s="14">
        <v>5</v>
      </c>
      <c r="H180" s="15">
        <v>25000000</v>
      </c>
      <c r="I180" s="11">
        <v>2</v>
      </c>
      <c r="J180" s="16">
        <v>1.3888888888888889E-3</v>
      </c>
      <c r="K180" s="11" t="s">
        <v>18</v>
      </c>
      <c r="L180" s="11" t="s">
        <v>31</v>
      </c>
      <c r="M180" s="11" t="s">
        <v>32</v>
      </c>
      <c r="N180" s="11" t="s">
        <v>39</v>
      </c>
      <c r="O180" s="11" t="s">
        <v>40</v>
      </c>
    </row>
    <row r="181" spans="2:15" ht="21" customHeight="1" x14ac:dyDescent="0.3">
      <c r="B181" s="4" t="s">
        <v>14</v>
      </c>
      <c r="C181" s="5">
        <v>16</v>
      </c>
      <c r="D181" s="6" t="s">
        <v>73</v>
      </c>
      <c r="E181" s="4" t="s">
        <v>16</v>
      </c>
      <c r="F181" s="4" t="s">
        <v>24</v>
      </c>
      <c r="G181" s="7">
        <v>3</v>
      </c>
      <c r="H181" s="1">
        <v>15000000</v>
      </c>
      <c r="I181" s="4">
        <v>3</v>
      </c>
      <c r="J181" s="8">
        <v>1.3888888888888889E-3</v>
      </c>
      <c r="K181" s="4" t="s">
        <v>18</v>
      </c>
      <c r="L181" s="4" t="s">
        <v>25</v>
      </c>
      <c r="M181" s="4" t="s">
        <v>35</v>
      </c>
      <c r="N181" s="4" t="s">
        <v>27</v>
      </c>
      <c r="O181" s="4" t="s">
        <v>33</v>
      </c>
    </row>
    <row r="182" spans="2:15" ht="21" customHeight="1" x14ac:dyDescent="0.3">
      <c r="B182" s="11" t="s">
        <v>14</v>
      </c>
      <c r="C182" s="12">
        <v>14</v>
      </c>
      <c r="D182" s="13" t="s">
        <v>73</v>
      </c>
      <c r="E182" s="11" t="s">
        <v>34</v>
      </c>
      <c r="F182" s="11" t="s">
        <v>17</v>
      </c>
      <c r="G182" s="14">
        <v>1</v>
      </c>
      <c r="H182" s="15">
        <v>7000000</v>
      </c>
      <c r="I182" s="11">
        <v>1</v>
      </c>
      <c r="J182" s="16">
        <v>1.3888888888888889E-3</v>
      </c>
      <c r="K182" s="11" t="s">
        <v>18</v>
      </c>
      <c r="L182" s="11" t="s">
        <v>43</v>
      </c>
      <c r="M182" s="11" t="s">
        <v>52</v>
      </c>
      <c r="N182" s="11" t="s">
        <v>21</v>
      </c>
      <c r="O182" s="11" t="s">
        <v>57</v>
      </c>
    </row>
    <row r="183" spans="2:15" ht="21" customHeight="1" x14ac:dyDescent="0.3">
      <c r="B183" s="4" t="s">
        <v>14</v>
      </c>
      <c r="C183" s="5">
        <v>16</v>
      </c>
      <c r="D183" s="6" t="s">
        <v>59</v>
      </c>
      <c r="E183" s="4" t="s">
        <v>42</v>
      </c>
      <c r="F183" s="4" t="s">
        <v>24</v>
      </c>
      <c r="G183" s="7">
        <v>5</v>
      </c>
      <c r="H183" s="1">
        <v>25000000</v>
      </c>
      <c r="I183" s="4">
        <v>1</v>
      </c>
      <c r="J183" s="8">
        <v>1.3888888888888889E-3</v>
      </c>
      <c r="K183" s="4" t="s">
        <v>18</v>
      </c>
      <c r="L183" s="4" t="s">
        <v>51</v>
      </c>
      <c r="M183" s="4" t="s">
        <v>52</v>
      </c>
      <c r="N183" s="4" t="s">
        <v>27</v>
      </c>
      <c r="O183" s="4" t="s">
        <v>33</v>
      </c>
    </row>
    <row r="184" spans="2:15" ht="21" customHeight="1" x14ac:dyDescent="0.3">
      <c r="B184" s="11" t="s">
        <v>14</v>
      </c>
      <c r="C184" s="12">
        <v>1</v>
      </c>
      <c r="D184" s="13" t="s">
        <v>61</v>
      </c>
      <c r="E184" s="11" t="s">
        <v>34</v>
      </c>
      <c r="F184" s="11" t="s">
        <v>24</v>
      </c>
      <c r="G184" s="14">
        <v>1</v>
      </c>
      <c r="H184" s="15">
        <v>7000000</v>
      </c>
      <c r="I184" s="11">
        <v>2</v>
      </c>
      <c r="J184" s="16">
        <v>1.3888888888888889E-3</v>
      </c>
      <c r="K184" s="11" t="s">
        <v>18</v>
      </c>
      <c r="L184" s="11" t="s">
        <v>25</v>
      </c>
      <c r="M184" s="11" t="s">
        <v>35</v>
      </c>
      <c r="N184" s="11" t="s">
        <v>27</v>
      </c>
      <c r="O184" s="11" t="s">
        <v>33</v>
      </c>
    </row>
    <row r="185" spans="2:15" ht="21" customHeight="1" x14ac:dyDescent="0.3">
      <c r="B185" s="4" t="s">
        <v>14</v>
      </c>
      <c r="C185" s="5">
        <v>11</v>
      </c>
      <c r="D185" s="6" t="s">
        <v>61</v>
      </c>
      <c r="E185" s="4" t="s">
        <v>34</v>
      </c>
      <c r="F185" s="4" t="s">
        <v>49</v>
      </c>
      <c r="G185" s="7">
        <v>2</v>
      </c>
      <c r="H185" s="1">
        <v>12000000</v>
      </c>
      <c r="I185" s="4">
        <v>2</v>
      </c>
      <c r="J185" s="8">
        <v>1.3888888888888889E-3</v>
      </c>
      <c r="K185" s="4" t="s">
        <v>18</v>
      </c>
      <c r="L185" s="4" t="s">
        <v>25</v>
      </c>
      <c r="M185" s="4" t="s">
        <v>44</v>
      </c>
      <c r="N185" s="4" t="s">
        <v>21</v>
      </c>
      <c r="O185" s="4" t="s">
        <v>67</v>
      </c>
    </row>
    <row r="186" spans="2:15" ht="21" customHeight="1" x14ac:dyDescent="0.3">
      <c r="B186" s="11" t="s">
        <v>14</v>
      </c>
      <c r="C186" s="12">
        <v>11</v>
      </c>
      <c r="D186" s="13" t="s">
        <v>61</v>
      </c>
      <c r="E186" s="11" t="s">
        <v>16</v>
      </c>
      <c r="F186" s="11" t="s">
        <v>24</v>
      </c>
      <c r="G186" s="14">
        <v>3</v>
      </c>
      <c r="H186" s="15">
        <v>15000000</v>
      </c>
      <c r="I186" s="11">
        <v>1</v>
      </c>
      <c r="J186" s="16">
        <v>1.3888888888888889E-3</v>
      </c>
      <c r="K186" s="11" t="s">
        <v>18</v>
      </c>
      <c r="L186" s="11" t="s">
        <v>43</v>
      </c>
      <c r="M186" s="11" t="s">
        <v>52</v>
      </c>
      <c r="N186" s="11" t="s">
        <v>39</v>
      </c>
      <c r="O186" s="11" t="s">
        <v>40</v>
      </c>
    </row>
    <row r="187" spans="2:15" ht="21" customHeight="1" x14ac:dyDescent="0.3">
      <c r="B187" s="4" t="s">
        <v>14</v>
      </c>
      <c r="C187" s="5">
        <v>1</v>
      </c>
      <c r="D187" s="6" t="s">
        <v>15</v>
      </c>
      <c r="E187" s="4" t="s">
        <v>16</v>
      </c>
      <c r="F187" s="4" t="s">
        <v>17</v>
      </c>
      <c r="G187" s="7">
        <v>1</v>
      </c>
      <c r="H187" s="1">
        <v>19000000</v>
      </c>
      <c r="I187" s="4">
        <v>1</v>
      </c>
      <c r="J187" s="8">
        <v>1.3888888888888889E-3</v>
      </c>
      <c r="K187" s="4" t="s">
        <v>50</v>
      </c>
      <c r="L187" s="4" t="s">
        <v>43</v>
      </c>
      <c r="M187" s="4" t="s">
        <v>47</v>
      </c>
      <c r="N187" s="4" t="s">
        <v>21</v>
      </c>
      <c r="O187" s="4" t="s">
        <v>70</v>
      </c>
    </row>
    <row r="188" spans="2:15" ht="21" customHeight="1" x14ac:dyDescent="0.3">
      <c r="B188" s="11" t="s">
        <v>14</v>
      </c>
      <c r="C188" s="12">
        <v>1</v>
      </c>
      <c r="D188" s="13" t="s">
        <v>15</v>
      </c>
      <c r="E188" s="11" t="s">
        <v>42</v>
      </c>
      <c r="F188" s="11" t="s">
        <v>24</v>
      </c>
      <c r="G188" s="14">
        <v>4</v>
      </c>
      <c r="H188" s="15">
        <v>20000000</v>
      </c>
      <c r="I188" s="11">
        <v>3</v>
      </c>
      <c r="J188" s="16">
        <v>1.3888888888888889E-3</v>
      </c>
      <c r="K188" s="11" t="s">
        <v>65</v>
      </c>
      <c r="L188" s="11" t="s">
        <v>43</v>
      </c>
      <c r="M188" s="11" t="s">
        <v>52</v>
      </c>
      <c r="N188" s="11" t="s">
        <v>39</v>
      </c>
      <c r="O188" s="11" t="s">
        <v>71</v>
      </c>
    </row>
    <row r="189" spans="2:15" ht="21" customHeight="1" x14ac:dyDescent="0.3">
      <c r="B189" s="4" t="s">
        <v>14</v>
      </c>
      <c r="C189" s="5">
        <v>1</v>
      </c>
      <c r="D189" s="6" t="s">
        <v>15</v>
      </c>
      <c r="E189" s="4" t="s">
        <v>16</v>
      </c>
      <c r="F189" s="4" t="s">
        <v>46</v>
      </c>
      <c r="G189" s="7">
        <v>3</v>
      </c>
      <c r="H189" s="1">
        <v>15000000</v>
      </c>
      <c r="I189" s="4">
        <v>1</v>
      </c>
      <c r="J189" s="8">
        <v>1.3888888888888889E-3</v>
      </c>
      <c r="K189" s="4" t="s">
        <v>18</v>
      </c>
      <c r="L189" s="4" t="s">
        <v>60</v>
      </c>
      <c r="M189" s="4" t="s">
        <v>55</v>
      </c>
      <c r="N189" s="4" t="s">
        <v>36</v>
      </c>
      <c r="O189" s="4" t="s">
        <v>37</v>
      </c>
    </row>
    <row r="190" spans="2:15" ht="21" customHeight="1" x14ac:dyDescent="0.3">
      <c r="B190" s="11" t="s">
        <v>14</v>
      </c>
      <c r="C190" s="12">
        <v>1</v>
      </c>
      <c r="D190" s="13" t="s">
        <v>63</v>
      </c>
      <c r="E190" s="11" t="s">
        <v>16</v>
      </c>
      <c r="F190" s="11" t="s">
        <v>17</v>
      </c>
      <c r="G190" s="14">
        <v>4</v>
      </c>
      <c r="H190" s="15">
        <v>20000000</v>
      </c>
      <c r="I190" s="11">
        <v>4</v>
      </c>
      <c r="J190" s="16">
        <v>1.3888888888888889E-3</v>
      </c>
      <c r="K190" s="11" t="s">
        <v>65</v>
      </c>
      <c r="L190" s="11" t="s">
        <v>43</v>
      </c>
      <c r="M190" s="11" t="s">
        <v>26</v>
      </c>
      <c r="N190" s="11" t="s">
        <v>21</v>
      </c>
      <c r="O190" s="11" t="s">
        <v>66</v>
      </c>
    </row>
    <row r="191" spans="2:15" ht="21" customHeight="1" x14ac:dyDescent="0.3">
      <c r="B191" s="4" t="s">
        <v>14</v>
      </c>
      <c r="C191" s="5">
        <v>4</v>
      </c>
      <c r="D191" s="6" t="s">
        <v>63</v>
      </c>
      <c r="E191" s="4" t="s">
        <v>77</v>
      </c>
      <c r="F191" s="4" t="s">
        <v>17</v>
      </c>
      <c r="G191" s="7">
        <v>3</v>
      </c>
      <c r="H191" s="1">
        <v>15000000</v>
      </c>
      <c r="I191" s="4">
        <v>1</v>
      </c>
      <c r="J191" s="8">
        <v>1.3888888888888889E-3</v>
      </c>
      <c r="K191" s="4" t="s">
        <v>18</v>
      </c>
      <c r="L191" s="4" t="s">
        <v>38</v>
      </c>
      <c r="M191" s="4" t="s">
        <v>47</v>
      </c>
      <c r="N191" s="4" t="s">
        <v>27</v>
      </c>
      <c r="O191" s="4" t="s">
        <v>33</v>
      </c>
    </row>
    <row r="192" spans="2:15" ht="21" customHeight="1" x14ac:dyDescent="0.3">
      <c r="B192" s="11" t="s">
        <v>14</v>
      </c>
      <c r="C192" s="12">
        <v>11</v>
      </c>
      <c r="D192" s="13" t="s">
        <v>63</v>
      </c>
      <c r="E192" s="11" t="s">
        <v>42</v>
      </c>
      <c r="F192" s="11" t="s">
        <v>24</v>
      </c>
      <c r="G192" s="14">
        <v>5</v>
      </c>
      <c r="H192" s="15">
        <v>25000000</v>
      </c>
      <c r="I192" s="11">
        <v>4</v>
      </c>
      <c r="J192" s="16">
        <v>1.3888888888888889E-3</v>
      </c>
      <c r="K192" s="11" t="s">
        <v>18</v>
      </c>
      <c r="L192" s="11" t="s">
        <v>31</v>
      </c>
      <c r="M192" s="11" t="s">
        <v>47</v>
      </c>
      <c r="N192" s="11" t="s">
        <v>27</v>
      </c>
      <c r="O192" s="11" t="s">
        <v>56</v>
      </c>
    </row>
    <row r="193" spans="2:15" ht="21" customHeight="1" x14ac:dyDescent="0.3">
      <c r="B193" s="4" t="s">
        <v>14</v>
      </c>
      <c r="C193" s="5">
        <v>12</v>
      </c>
      <c r="D193" s="6" t="s">
        <v>76</v>
      </c>
      <c r="E193" s="4" t="s">
        <v>42</v>
      </c>
      <c r="F193" s="4" t="s">
        <v>24</v>
      </c>
      <c r="G193" s="7">
        <v>2</v>
      </c>
      <c r="H193" s="1">
        <v>12000000</v>
      </c>
      <c r="I193" s="4">
        <v>4</v>
      </c>
      <c r="J193" s="8">
        <v>1.3888888888888889E-3</v>
      </c>
      <c r="K193" s="4" t="s">
        <v>18</v>
      </c>
      <c r="L193" s="4" t="s">
        <v>38</v>
      </c>
      <c r="M193" s="4" t="s">
        <v>26</v>
      </c>
      <c r="N193" s="4" t="s">
        <v>36</v>
      </c>
      <c r="O193" s="4" t="s">
        <v>58</v>
      </c>
    </row>
    <row r="194" spans="2:15" ht="21" customHeight="1" x14ac:dyDescent="0.3">
      <c r="B194" s="11" t="s">
        <v>14</v>
      </c>
      <c r="C194" s="12">
        <v>31</v>
      </c>
      <c r="D194" s="13" t="s">
        <v>23</v>
      </c>
      <c r="E194" s="11" t="s">
        <v>16</v>
      </c>
      <c r="F194" s="11" t="s">
        <v>24</v>
      </c>
      <c r="G194" s="14">
        <v>1</v>
      </c>
      <c r="H194" s="15">
        <v>19000000</v>
      </c>
      <c r="I194" s="11">
        <v>3</v>
      </c>
      <c r="J194" s="16">
        <v>1.3888888888888889E-3</v>
      </c>
      <c r="K194" s="11" t="s">
        <v>50</v>
      </c>
      <c r="L194" s="11" t="s">
        <v>60</v>
      </c>
      <c r="M194" s="11" t="s">
        <v>26</v>
      </c>
      <c r="N194" s="11" t="s">
        <v>27</v>
      </c>
      <c r="O194" s="11" t="s">
        <v>56</v>
      </c>
    </row>
    <row r="195" spans="2:15" ht="21" customHeight="1" x14ac:dyDescent="0.3">
      <c r="B195" s="4" t="s">
        <v>14</v>
      </c>
      <c r="C195" s="5">
        <v>2</v>
      </c>
      <c r="D195" s="6" t="s">
        <v>23</v>
      </c>
      <c r="E195" s="4" t="s">
        <v>30</v>
      </c>
      <c r="F195" s="4" t="s">
        <v>49</v>
      </c>
      <c r="G195" s="7">
        <v>2</v>
      </c>
      <c r="H195" s="1">
        <v>12000000</v>
      </c>
      <c r="I195" s="4">
        <v>2</v>
      </c>
      <c r="J195" s="8">
        <v>1.3888888888888889E-3</v>
      </c>
      <c r="K195" s="4" t="s">
        <v>18</v>
      </c>
      <c r="L195" s="4" t="s">
        <v>60</v>
      </c>
      <c r="M195" s="4" t="s">
        <v>32</v>
      </c>
      <c r="N195" s="4" t="s">
        <v>21</v>
      </c>
      <c r="O195" s="4" t="s">
        <v>70</v>
      </c>
    </row>
    <row r="196" spans="2:15" ht="21" customHeight="1" x14ac:dyDescent="0.3">
      <c r="B196" s="11" t="s">
        <v>14</v>
      </c>
      <c r="C196" s="12">
        <v>9</v>
      </c>
      <c r="D196" s="13" t="s">
        <v>23</v>
      </c>
      <c r="E196" s="11" t="s">
        <v>16</v>
      </c>
      <c r="F196" s="11" t="s">
        <v>46</v>
      </c>
      <c r="G196" s="14">
        <v>3</v>
      </c>
      <c r="H196" s="15">
        <v>12000000</v>
      </c>
      <c r="I196" s="11">
        <v>5</v>
      </c>
      <c r="J196" s="16">
        <v>1.3888888888888889E-3</v>
      </c>
      <c r="K196" s="11" t="s">
        <v>18</v>
      </c>
      <c r="L196" s="11" t="s">
        <v>68</v>
      </c>
      <c r="M196" s="11" t="s">
        <v>44</v>
      </c>
      <c r="N196" s="11" t="s">
        <v>27</v>
      </c>
      <c r="O196" s="11" t="s">
        <v>56</v>
      </c>
    </row>
    <row r="197" spans="2:15" ht="21" customHeight="1" x14ac:dyDescent="0.3">
      <c r="B197" s="4" t="s">
        <v>14</v>
      </c>
      <c r="C197" s="5">
        <v>25</v>
      </c>
      <c r="D197" s="6" t="s">
        <v>23</v>
      </c>
      <c r="E197" s="4" t="s">
        <v>34</v>
      </c>
      <c r="F197" s="4" t="s">
        <v>46</v>
      </c>
      <c r="G197" s="7">
        <v>2</v>
      </c>
      <c r="H197" s="1">
        <v>10000000</v>
      </c>
      <c r="I197" s="4">
        <v>4</v>
      </c>
      <c r="J197" s="8">
        <v>1.3888888888888889E-3</v>
      </c>
      <c r="K197" s="4" t="s">
        <v>18</v>
      </c>
      <c r="L197" s="4" t="s">
        <v>68</v>
      </c>
      <c r="M197" s="4" t="s">
        <v>35</v>
      </c>
      <c r="N197" s="4" t="s">
        <v>27</v>
      </c>
      <c r="O197" s="4" t="s">
        <v>33</v>
      </c>
    </row>
    <row r="198" spans="2:15" ht="21" customHeight="1" x14ac:dyDescent="0.3">
      <c r="B198" s="11" t="s">
        <v>74</v>
      </c>
      <c r="C198" s="12">
        <v>8</v>
      </c>
      <c r="D198" s="13" t="s">
        <v>76</v>
      </c>
      <c r="E198" s="11" t="s">
        <v>30</v>
      </c>
      <c r="F198" s="11" t="s">
        <v>17</v>
      </c>
      <c r="G198" s="14">
        <v>0</v>
      </c>
      <c r="H198" s="15">
        <v>0</v>
      </c>
      <c r="I198" s="11">
        <v>3</v>
      </c>
      <c r="J198" s="16">
        <v>1.3888888888888889E-3</v>
      </c>
      <c r="K198" s="11"/>
      <c r="L198" s="11"/>
      <c r="M198" s="11" t="s">
        <v>32</v>
      </c>
      <c r="N198" s="11" t="s">
        <v>27</v>
      </c>
      <c r="O198" s="11" t="s">
        <v>56</v>
      </c>
    </row>
    <row r="199" spans="2:15" ht="21" customHeight="1" x14ac:dyDescent="0.3">
      <c r="B199" s="4" t="s">
        <v>74</v>
      </c>
      <c r="C199" s="5">
        <v>5</v>
      </c>
      <c r="D199" s="6" t="s">
        <v>76</v>
      </c>
      <c r="E199" s="4" t="s">
        <v>42</v>
      </c>
      <c r="F199" s="4" t="s">
        <v>46</v>
      </c>
      <c r="G199" s="7">
        <v>0</v>
      </c>
      <c r="H199" s="1">
        <v>0</v>
      </c>
      <c r="I199" s="4">
        <v>1</v>
      </c>
      <c r="J199" s="8">
        <v>1.3888888888888889E-3</v>
      </c>
      <c r="K199" s="4"/>
      <c r="L199" s="4"/>
      <c r="M199" s="4" t="s">
        <v>35</v>
      </c>
      <c r="N199" s="4" t="s">
        <v>21</v>
      </c>
      <c r="O199" s="4" t="s">
        <v>45</v>
      </c>
    </row>
    <row r="200" spans="2:15" ht="21" customHeight="1" x14ac:dyDescent="0.3">
      <c r="B200" s="11" t="s">
        <v>74</v>
      </c>
      <c r="C200" s="12">
        <v>2</v>
      </c>
      <c r="D200" s="13" t="s">
        <v>29</v>
      </c>
      <c r="E200" s="11" t="s">
        <v>53</v>
      </c>
      <c r="F200" s="11" t="s">
        <v>46</v>
      </c>
      <c r="G200" s="14">
        <v>0</v>
      </c>
      <c r="H200" s="15">
        <v>0</v>
      </c>
      <c r="I200" s="11">
        <v>2</v>
      </c>
      <c r="J200" s="16">
        <v>1.3888888888888889E-3</v>
      </c>
      <c r="K200" s="11"/>
      <c r="L200" s="11"/>
      <c r="M200" s="11" t="s">
        <v>32</v>
      </c>
      <c r="N200" s="11" t="s">
        <v>36</v>
      </c>
      <c r="O200" s="11" t="s">
        <v>69</v>
      </c>
    </row>
    <row r="201" spans="2:15" ht="21" customHeight="1" x14ac:dyDescent="0.3">
      <c r="B201" s="4" t="s">
        <v>74</v>
      </c>
      <c r="C201" s="5">
        <v>20</v>
      </c>
      <c r="D201" s="6" t="s">
        <v>29</v>
      </c>
      <c r="E201" s="4" t="s">
        <v>42</v>
      </c>
      <c r="F201" s="4" t="s">
        <v>46</v>
      </c>
      <c r="G201" s="7">
        <v>0</v>
      </c>
      <c r="H201" s="1">
        <v>0</v>
      </c>
      <c r="I201" s="4">
        <v>1</v>
      </c>
      <c r="J201" s="8">
        <v>1.3888888888888889E-3</v>
      </c>
      <c r="K201" s="4"/>
      <c r="L201" s="4"/>
      <c r="M201" s="4" t="s">
        <v>44</v>
      </c>
      <c r="N201" s="4" t="s">
        <v>27</v>
      </c>
      <c r="O201" s="4" t="s">
        <v>33</v>
      </c>
    </row>
    <row r="202" spans="2:15" ht="21" customHeight="1" x14ac:dyDescent="0.3">
      <c r="B202" s="11" t="s">
        <v>74</v>
      </c>
      <c r="C202" s="12">
        <v>22</v>
      </c>
      <c r="D202" s="13" t="s">
        <v>29</v>
      </c>
      <c r="E202" s="11" t="s">
        <v>16</v>
      </c>
      <c r="F202" s="11" t="s">
        <v>24</v>
      </c>
      <c r="G202" s="14">
        <v>0</v>
      </c>
      <c r="H202" s="15">
        <v>0</v>
      </c>
      <c r="I202" s="11">
        <v>3</v>
      </c>
      <c r="J202" s="16">
        <v>1.3888888888888889E-3</v>
      </c>
      <c r="K202" s="11"/>
      <c r="L202" s="11"/>
      <c r="M202" s="11" t="s">
        <v>47</v>
      </c>
      <c r="N202" s="11" t="s">
        <v>27</v>
      </c>
      <c r="O202" s="11" t="s">
        <v>33</v>
      </c>
    </row>
    <row r="203" spans="2:15" ht="21" customHeight="1" x14ac:dyDescent="0.3">
      <c r="B203" s="4" t="s">
        <v>74</v>
      </c>
      <c r="C203" s="5">
        <v>15</v>
      </c>
      <c r="D203" s="6" t="s">
        <v>29</v>
      </c>
      <c r="E203" s="4" t="s">
        <v>16</v>
      </c>
      <c r="F203" s="4" t="s">
        <v>24</v>
      </c>
      <c r="G203" s="7">
        <v>0</v>
      </c>
      <c r="H203" s="1">
        <v>0</v>
      </c>
      <c r="I203" s="4">
        <v>3</v>
      </c>
      <c r="J203" s="8">
        <v>1.3888888888888889E-3</v>
      </c>
      <c r="K203" s="4"/>
      <c r="L203" s="4"/>
      <c r="M203" s="4" t="s">
        <v>55</v>
      </c>
      <c r="N203" s="4" t="s">
        <v>39</v>
      </c>
      <c r="O203" s="4" t="s">
        <v>71</v>
      </c>
    </row>
    <row r="204" spans="2:15" ht="21" customHeight="1" x14ac:dyDescent="0.3">
      <c r="B204" s="11" t="s">
        <v>74</v>
      </c>
      <c r="C204" s="12">
        <v>21</v>
      </c>
      <c r="D204" s="13" t="s">
        <v>29</v>
      </c>
      <c r="E204" s="11" t="s">
        <v>42</v>
      </c>
      <c r="F204" s="11" t="s">
        <v>46</v>
      </c>
      <c r="G204" s="14">
        <v>0</v>
      </c>
      <c r="H204" s="15">
        <v>0</v>
      </c>
      <c r="I204" s="11">
        <v>2</v>
      </c>
      <c r="J204" s="16">
        <v>1.3888888888888889E-3</v>
      </c>
      <c r="K204" s="11"/>
      <c r="L204" s="11"/>
      <c r="M204" s="11" t="s">
        <v>55</v>
      </c>
      <c r="N204" s="11" t="s">
        <v>36</v>
      </c>
      <c r="O204" s="11" t="s">
        <v>37</v>
      </c>
    </row>
    <row r="205" spans="2:15" ht="21" customHeight="1" x14ac:dyDescent="0.3">
      <c r="B205" s="4" t="s">
        <v>74</v>
      </c>
      <c r="C205" s="5">
        <v>24</v>
      </c>
      <c r="D205" s="6" t="s">
        <v>41</v>
      </c>
      <c r="E205" s="4" t="s">
        <v>42</v>
      </c>
      <c r="F205" s="4" t="s">
        <v>24</v>
      </c>
      <c r="G205" s="7">
        <v>0</v>
      </c>
      <c r="H205" s="1">
        <v>0</v>
      </c>
      <c r="I205" s="4">
        <v>1</v>
      </c>
      <c r="J205" s="8">
        <v>1.3888888888888889E-3</v>
      </c>
      <c r="K205" s="4"/>
      <c r="L205" s="4"/>
      <c r="M205" s="4" t="s">
        <v>35</v>
      </c>
      <c r="N205" s="4" t="s">
        <v>39</v>
      </c>
      <c r="O205" s="4" t="s">
        <v>71</v>
      </c>
    </row>
    <row r="206" spans="2:15" ht="21" customHeight="1" x14ac:dyDescent="0.3">
      <c r="B206" s="11" t="s">
        <v>74</v>
      </c>
      <c r="C206" s="12">
        <v>5</v>
      </c>
      <c r="D206" s="13" t="s">
        <v>41</v>
      </c>
      <c r="E206" s="11" t="s">
        <v>34</v>
      </c>
      <c r="F206" s="11" t="s">
        <v>17</v>
      </c>
      <c r="G206" s="14">
        <v>0</v>
      </c>
      <c r="H206" s="15">
        <v>0</v>
      </c>
      <c r="I206" s="11">
        <v>5</v>
      </c>
      <c r="J206" s="16">
        <v>1.3888888888888889E-3</v>
      </c>
      <c r="K206" s="11"/>
      <c r="L206" s="11"/>
      <c r="M206" s="11" t="s">
        <v>52</v>
      </c>
      <c r="N206" s="11" t="s">
        <v>21</v>
      </c>
      <c r="O206" s="11" t="s">
        <v>70</v>
      </c>
    </row>
    <row r="207" spans="2:15" ht="21" customHeight="1" x14ac:dyDescent="0.3">
      <c r="B207" s="4" t="s">
        <v>74</v>
      </c>
      <c r="C207" s="5">
        <v>15</v>
      </c>
      <c r="D207" s="6" t="s">
        <v>48</v>
      </c>
      <c r="E207" s="4" t="s">
        <v>16</v>
      </c>
      <c r="F207" s="4" t="s">
        <v>24</v>
      </c>
      <c r="G207" s="7">
        <v>0</v>
      </c>
      <c r="H207" s="1">
        <v>0</v>
      </c>
      <c r="I207" s="4">
        <v>1</v>
      </c>
      <c r="J207" s="8">
        <v>1.3888888888888889E-3</v>
      </c>
      <c r="K207" s="4"/>
      <c r="L207" s="4"/>
      <c r="M207" s="4" t="s">
        <v>32</v>
      </c>
      <c r="N207" s="4" t="s">
        <v>27</v>
      </c>
      <c r="O207" s="4" t="s">
        <v>33</v>
      </c>
    </row>
    <row r="208" spans="2:15" ht="21" customHeight="1" x14ac:dyDescent="0.3">
      <c r="B208" s="11" t="s">
        <v>74</v>
      </c>
      <c r="C208" s="12">
        <v>29</v>
      </c>
      <c r="D208" s="13" t="s">
        <v>48</v>
      </c>
      <c r="E208" s="11" t="s">
        <v>34</v>
      </c>
      <c r="F208" s="11" t="s">
        <v>17</v>
      </c>
      <c r="G208" s="14">
        <v>0</v>
      </c>
      <c r="H208" s="15">
        <v>0</v>
      </c>
      <c r="I208" s="11">
        <v>4</v>
      </c>
      <c r="J208" s="16">
        <v>1.3888888888888889E-3</v>
      </c>
      <c r="K208" s="11"/>
      <c r="L208" s="11"/>
      <c r="M208" s="11" t="s">
        <v>44</v>
      </c>
      <c r="N208" s="11" t="s">
        <v>21</v>
      </c>
      <c r="O208" s="11" t="s">
        <v>67</v>
      </c>
    </row>
    <row r="209" spans="2:15" ht="21" customHeight="1" x14ac:dyDescent="0.3">
      <c r="B209" s="4" t="s">
        <v>74</v>
      </c>
      <c r="C209" s="5">
        <v>11</v>
      </c>
      <c r="D209" s="6" t="s">
        <v>48</v>
      </c>
      <c r="E209" s="4" t="s">
        <v>34</v>
      </c>
      <c r="F209" s="4" t="s">
        <v>24</v>
      </c>
      <c r="G209" s="7">
        <v>0</v>
      </c>
      <c r="H209" s="1">
        <v>0</v>
      </c>
      <c r="I209" s="4">
        <v>3</v>
      </c>
      <c r="J209" s="8">
        <v>1.3888888888888889E-3</v>
      </c>
      <c r="K209" s="4"/>
      <c r="L209" s="4"/>
      <c r="M209" s="4" t="s">
        <v>35</v>
      </c>
      <c r="N209" s="4" t="s">
        <v>21</v>
      </c>
      <c r="O209" s="4" t="s">
        <v>57</v>
      </c>
    </row>
    <row r="210" spans="2:15" ht="21" customHeight="1" x14ac:dyDescent="0.3">
      <c r="B210" s="11" t="s">
        <v>74</v>
      </c>
      <c r="C210" s="12">
        <v>26</v>
      </c>
      <c r="D210" s="13" t="s">
        <v>48</v>
      </c>
      <c r="E210" s="11" t="s">
        <v>30</v>
      </c>
      <c r="F210" s="11" t="s">
        <v>24</v>
      </c>
      <c r="G210" s="14">
        <v>0</v>
      </c>
      <c r="H210" s="15">
        <v>0</v>
      </c>
      <c r="I210" s="11">
        <v>6</v>
      </c>
      <c r="J210" s="16">
        <v>1.3888888888888889E-3</v>
      </c>
      <c r="K210" s="11"/>
      <c r="L210" s="11"/>
      <c r="M210" s="11" t="s">
        <v>55</v>
      </c>
      <c r="N210" s="11" t="s">
        <v>27</v>
      </c>
      <c r="O210" s="11" t="s">
        <v>33</v>
      </c>
    </row>
    <row r="211" spans="2:15" ht="21" customHeight="1" x14ac:dyDescent="0.3">
      <c r="B211" s="4" t="s">
        <v>74</v>
      </c>
      <c r="C211" s="5">
        <v>31</v>
      </c>
      <c r="D211" s="6" t="s">
        <v>73</v>
      </c>
      <c r="E211" s="4" t="s">
        <v>42</v>
      </c>
      <c r="F211" s="4" t="s">
        <v>17</v>
      </c>
      <c r="G211" s="7">
        <v>0</v>
      </c>
      <c r="H211" s="1">
        <v>0</v>
      </c>
      <c r="I211" s="4">
        <v>1</v>
      </c>
      <c r="J211" s="8">
        <v>1.3888888888888889E-3</v>
      </c>
      <c r="K211" s="4"/>
      <c r="L211" s="4"/>
      <c r="M211" s="4" t="s">
        <v>32</v>
      </c>
      <c r="N211" s="4" t="s">
        <v>21</v>
      </c>
      <c r="O211" s="4" t="s">
        <v>67</v>
      </c>
    </row>
    <row r="212" spans="2:15" ht="21" customHeight="1" x14ac:dyDescent="0.3">
      <c r="B212" s="11" t="s">
        <v>74</v>
      </c>
      <c r="C212" s="12">
        <v>30</v>
      </c>
      <c r="D212" s="13" t="s">
        <v>73</v>
      </c>
      <c r="E212" s="11" t="s">
        <v>53</v>
      </c>
      <c r="F212" s="11" t="s">
        <v>46</v>
      </c>
      <c r="G212" s="14">
        <v>0</v>
      </c>
      <c r="H212" s="15">
        <v>0</v>
      </c>
      <c r="I212" s="11">
        <v>4</v>
      </c>
      <c r="J212" s="16">
        <v>1.3888888888888889E-3</v>
      </c>
      <c r="K212" s="11"/>
      <c r="L212" s="11"/>
      <c r="M212" s="11" t="s">
        <v>44</v>
      </c>
      <c r="N212" s="11" t="s">
        <v>39</v>
      </c>
      <c r="O212" s="11" t="s">
        <v>40</v>
      </c>
    </row>
    <row r="213" spans="2:15" ht="21" customHeight="1" x14ac:dyDescent="0.3">
      <c r="B213" s="4" t="s">
        <v>74</v>
      </c>
      <c r="C213" s="5">
        <v>14</v>
      </c>
      <c r="D213" s="6" t="s">
        <v>73</v>
      </c>
      <c r="E213" s="4" t="s">
        <v>34</v>
      </c>
      <c r="F213" s="4" t="s">
        <v>46</v>
      </c>
      <c r="G213" s="7">
        <v>0</v>
      </c>
      <c r="H213" s="1">
        <v>0</v>
      </c>
      <c r="I213" s="4">
        <v>1</v>
      </c>
      <c r="J213" s="8">
        <v>1.3888888888888889E-3</v>
      </c>
      <c r="K213" s="4"/>
      <c r="L213" s="4"/>
      <c r="M213" s="4" t="s">
        <v>26</v>
      </c>
      <c r="N213" s="4" t="s">
        <v>21</v>
      </c>
      <c r="O213" s="4" t="s">
        <v>45</v>
      </c>
    </row>
    <row r="214" spans="2:15" ht="21" customHeight="1" x14ac:dyDescent="0.3">
      <c r="B214" s="11" t="s">
        <v>74</v>
      </c>
      <c r="C214" s="12">
        <v>30</v>
      </c>
      <c r="D214" s="13" t="s">
        <v>73</v>
      </c>
      <c r="E214" s="11" t="s">
        <v>34</v>
      </c>
      <c r="F214" s="11" t="s">
        <v>17</v>
      </c>
      <c r="G214" s="14">
        <v>0</v>
      </c>
      <c r="H214" s="15">
        <v>0</v>
      </c>
      <c r="I214" s="11">
        <v>4</v>
      </c>
      <c r="J214" s="16">
        <v>1.3888888888888889E-3</v>
      </c>
      <c r="K214" s="11"/>
      <c r="L214" s="11"/>
      <c r="M214" s="11" t="s">
        <v>52</v>
      </c>
      <c r="N214" s="11" t="s">
        <v>27</v>
      </c>
      <c r="O214" s="11" t="s">
        <v>56</v>
      </c>
    </row>
    <row r="215" spans="2:15" ht="21" customHeight="1" x14ac:dyDescent="0.3">
      <c r="B215" s="4" t="s">
        <v>74</v>
      </c>
      <c r="C215" s="5">
        <v>8</v>
      </c>
      <c r="D215" s="6" t="s">
        <v>76</v>
      </c>
      <c r="E215" s="4" t="s">
        <v>30</v>
      </c>
      <c r="F215" s="4" t="s">
        <v>17</v>
      </c>
      <c r="G215" s="7">
        <v>0</v>
      </c>
      <c r="H215" s="1">
        <v>0</v>
      </c>
      <c r="I215" s="4">
        <v>3</v>
      </c>
      <c r="J215" s="8">
        <v>1.3888888888888889E-3</v>
      </c>
      <c r="K215" s="4"/>
      <c r="L215" s="4"/>
      <c r="M215" s="4" t="s">
        <v>32</v>
      </c>
      <c r="N215" s="4" t="s">
        <v>27</v>
      </c>
      <c r="O215" s="4" t="s">
        <v>56</v>
      </c>
    </row>
    <row r="216" spans="2:15" ht="21" customHeight="1" x14ac:dyDescent="0.3">
      <c r="B216" s="11" t="s">
        <v>74</v>
      </c>
      <c r="C216" s="12">
        <v>5</v>
      </c>
      <c r="D216" s="13" t="s">
        <v>76</v>
      </c>
      <c r="E216" s="11" t="s">
        <v>42</v>
      </c>
      <c r="F216" s="11" t="s">
        <v>46</v>
      </c>
      <c r="G216" s="14">
        <v>0</v>
      </c>
      <c r="H216" s="15">
        <v>0</v>
      </c>
      <c r="I216" s="11">
        <v>1</v>
      </c>
      <c r="J216" s="16">
        <v>1.3888888888888889E-3</v>
      </c>
      <c r="K216" s="11"/>
      <c r="L216" s="11"/>
      <c r="M216" s="11" t="s">
        <v>35</v>
      </c>
      <c r="N216" s="11" t="s">
        <v>21</v>
      </c>
      <c r="O216" s="11" t="s">
        <v>45</v>
      </c>
    </row>
    <row r="217" spans="2:15" ht="21" customHeight="1" x14ac:dyDescent="0.3">
      <c r="B217" s="4" t="s">
        <v>14</v>
      </c>
      <c r="C217" s="5">
        <v>11</v>
      </c>
      <c r="D217" s="6" t="s">
        <v>61</v>
      </c>
      <c r="E217" s="4" t="s">
        <v>77</v>
      </c>
      <c r="F217" s="4" t="s">
        <v>17</v>
      </c>
      <c r="G217" s="7">
        <v>2</v>
      </c>
      <c r="H217" s="1">
        <v>38000000</v>
      </c>
      <c r="I217" s="4">
        <v>3</v>
      </c>
      <c r="J217" s="8">
        <v>1.3888888888888889E-3</v>
      </c>
      <c r="K217" s="4" t="s">
        <v>50</v>
      </c>
      <c r="L217" s="4" t="s">
        <v>43</v>
      </c>
      <c r="M217" s="4" t="s">
        <v>35</v>
      </c>
      <c r="N217" s="4" t="s">
        <v>21</v>
      </c>
      <c r="O217" s="4" t="s">
        <v>57</v>
      </c>
    </row>
    <row r="218" spans="2:15" ht="21" customHeight="1" x14ac:dyDescent="0.3">
      <c r="B218" s="11" t="s">
        <v>14</v>
      </c>
      <c r="C218" s="12">
        <v>13</v>
      </c>
      <c r="D218" s="13" t="s">
        <v>29</v>
      </c>
      <c r="E218" s="11" t="s">
        <v>34</v>
      </c>
      <c r="F218" s="11" t="s">
        <v>72</v>
      </c>
      <c r="G218" s="14">
        <v>1</v>
      </c>
      <c r="H218" s="15">
        <v>19000000</v>
      </c>
      <c r="I218" s="11">
        <v>6</v>
      </c>
      <c r="J218" s="16">
        <v>1.3888888888888889E-3</v>
      </c>
      <c r="K218" s="11" t="s">
        <v>50</v>
      </c>
      <c r="L218" s="11" t="s">
        <v>38</v>
      </c>
      <c r="M218" s="11" t="s">
        <v>20</v>
      </c>
      <c r="N218" s="11" t="s">
        <v>21</v>
      </c>
      <c r="O218" s="11" t="s">
        <v>66</v>
      </c>
    </row>
    <row r="219" spans="2:15" ht="21" customHeight="1" x14ac:dyDescent="0.3">
      <c r="B219" s="4" t="s">
        <v>14</v>
      </c>
      <c r="C219" s="5">
        <v>25</v>
      </c>
      <c r="D219" s="6" t="s">
        <v>29</v>
      </c>
      <c r="E219" s="4" t="s">
        <v>34</v>
      </c>
      <c r="F219" s="4" t="s">
        <v>46</v>
      </c>
      <c r="G219" s="7">
        <v>3</v>
      </c>
      <c r="H219" s="1">
        <v>15000000</v>
      </c>
      <c r="I219" s="4">
        <v>4</v>
      </c>
      <c r="J219" s="8">
        <v>1.3888888888888889E-3</v>
      </c>
      <c r="K219" s="4" t="s">
        <v>18</v>
      </c>
      <c r="L219" s="4" t="s">
        <v>19</v>
      </c>
      <c r="M219" s="4" t="s">
        <v>32</v>
      </c>
      <c r="N219" s="4" t="s">
        <v>39</v>
      </c>
      <c r="O219" s="4" t="s">
        <v>71</v>
      </c>
    </row>
    <row r="220" spans="2:15" ht="21" customHeight="1" x14ac:dyDescent="0.3">
      <c r="B220" s="11" t="s">
        <v>14</v>
      </c>
      <c r="C220" s="12">
        <v>30</v>
      </c>
      <c r="D220" s="13" t="s">
        <v>29</v>
      </c>
      <c r="E220" s="11" t="s">
        <v>77</v>
      </c>
      <c r="F220" s="11" t="s">
        <v>24</v>
      </c>
      <c r="G220" s="14">
        <v>2</v>
      </c>
      <c r="H220" s="15">
        <v>12000000</v>
      </c>
      <c r="I220" s="11">
        <v>4</v>
      </c>
      <c r="J220" s="16">
        <v>1.3888888888888889E-3</v>
      </c>
      <c r="K220" s="11" t="s">
        <v>18</v>
      </c>
      <c r="L220" s="11" t="s">
        <v>19</v>
      </c>
      <c r="M220" s="11" t="s">
        <v>32</v>
      </c>
      <c r="N220" s="11" t="s">
        <v>27</v>
      </c>
      <c r="O220" s="11" t="s">
        <v>28</v>
      </c>
    </row>
    <row r="221" spans="2:15" ht="21" customHeight="1" x14ac:dyDescent="0.3">
      <c r="B221" s="4" t="s">
        <v>14</v>
      </c>
      <c r="C221" s="5">
        <v>26</v>
      </c>
      <c r="D221" s="6" t="s">
        <v>41</v>
      </c>
      <c r="E221" s="4" t="s">
        <v>16</v>
      </c>
      <c r="F221" s="4" t="s">
        <v>49</v>
      </c>
      <c r="G221" s="7">
        <v>4</v>
      </c>
      <c r="H221" s="1">
        <v>11000000</v>
      </c>
      <c r="I221" s="4">
        <v>1</v>
      </c>
      <c r="J221" s="8">
        <v>1.3888888888888889E-3</v>
      </c>
      <c r="K221" s="4" t="s">
        <v>65</v>
      </c>
      <c r="L221" s="4" t="s">
        <v>25</v>
      </c>
      <c r="M221" s="4" t="s">
        <v>26</v>
      </c>
      <c r="N221" s="4" t="s">
        <v>39</v>
      </c>
      <c r="O221" s="4" t="s">
        <v>71</v>
      </c>
    </row>
    <row r="222" spans="2:15" ht="21" customHeight="1" x14ac:dyDescent="0.3">
      <c r="B222" s="11" t="s">
        <v>14</v>
      </c>
      <c r="C222" s="12">
        <v>28</v>
      </c>
      <c r="D222" s="13" t="s">
        <v>41</v>
      </c>
      <c r="E222" s="11" t="s">
        <v>30</v>
      </c>
      <c r="F222" s="11" t="s">
        <v>24</v>
      </c>
      <c r="G222" s="14">
        <v>2</v>
      </c>
      <c r="H222" s="15">
        <v>12000000</v>
      </c>
      <c r="I222" s="11">
        <v>1</v>
      </c>
      <c r="J222" s="16">
        <v>1.3888888888888889E-3</v>
      </c>
      <c r="K222" s="11" t="s">
        <v>18</v>
      </c>
      <c r="L222" s="11" t="s">
        <v>68</v>
      </c>
      <c r="M222" s="11" t="s">
        <v>32</v>
      </c>
      <c r="N222" s="11" t="s">
        <v>39</v>
      </c>
      <c r="O222" s="11" t="s">
        <v>40</v>
      </c>
    </row>
    <row r="223" spans="2:15" ht="21" customHeight="1" x14ac:dyDescent="0.3">
      <c r="B223" s="4" t="s">
        <v>14</v>
      </c>
      <c r="C223" s="5">
        <v>28</v>
      </c>
      <c r="D223" s="6" t="s">
        <v>41</v>
      </c>
      <c r="E223" s="4" t="s">
        <v>53</v>
      </c>
      <c r="F223" s="4" t="s">
        <v>24</v>
      </c>
      <c r="G223" s="7">
        <v>1</v>
      </c>
      <c r="H223" s="1">
        <v>7000000</v>
      </c>
      <c r="I223" s="4">
        <v>3</v>
      </c>
      <c r="J223" s="8">
        <v>1.3888888888888889E-3</v>
      </c>
      <c r="K223" s="4" t="s">
        <v>18</v>
      </c>
      <c r="L223" s="4" t="s">
        <v>43</v>
      </c>
      <c r="M223" s="4" t="s">
        <v>55</v>
      </c>
      <c r="N223" s="4" t="s">
        <v>21</v>
      </c>
      <c r="O223" s="4" t="s">
        <v>57</v>
      </c>
    </row>
    <row r="224" spans="2:15" ht="21" customHeight="1" x14ac:dyDescent="0.3">
      <c r="B224" s="11" t="s">
        <v>14</v>
      </c>
      <c r="C224" s="12">
        <v>24</v>
      </c>
      <c r="D224" s="13" t="s">
        <v>48</v>
      </c>
      <c r="E224" s="11" t="s">
        <v>30</v>
      </c>
      <c r="F224" s="11" t="s">
        <v>49</v>
      </c>
      <c r="G224" s="14">
        <v>4</v>
      </c>
      <c r="H224" s="15">
        <v>20000000</v>
      </c>
      <c r="I224" s="11">
        <v>7</v>
      </c>
      <c r="J224" s="16">
        <v>1.3888888888888889E-3</v>
      </c>
      <c r="K224" s="11" t="s">
        <v>18</v>
      </c>
      <c r="L224" s="11" t="s">
        <v>31</v>
      </c>
      <c r="M224" s="11" t="s">
        <v>32</v>
      </c>
      <c r="N224" s="11" t="s">
        <v>27</v>
      </c>
      <c r="O224" s="11" t="s">
        <v>79</v>
      </c>
    </row>
    <row r="225" spans="2:15" ht="21" customHeight="1" x14ac:dyDescent="0.3">
      <c r="B225" s="4" t="s">
        <v>14</v>
      </c>
      <c r="C225" s="5">
        <v>26</v>
      </c>
      <c r="D225" s="6" t="s">
        <v>48</v>
      </c>
      <c r="E225" s="4" t="s">
        <v>16</v>
      </c>
      <c r="F225" s="4" t="s">
        <v>46</v>
      </c>
      <c r="G225" s="7">
        <v>5</v>
      </c>
      <c r="H225" s="1">
        <v>25000000</v>
      </c>
      <c r="I225" s="4">
        <v>3</v>
      </c>
      <c r="J225" s="8">
        <v>1.3888888888888889E-3</v>
      </c>
      <c r="K225" s="4" t="s">
        <v>18</v>
      </c>
      <c r="L225" s="4" t="s">
        <v>60</v>
      </c>
      <c r="M225" s="4" t="s">
        <v>44</v>
      </c>
      <c r="N225" s="4" t="s">
        <v>21</v>
      </c>
      <c r="O225" s="4" t="s">
        <v>70</v>
      </c>
    </row>
    <row r="226" spans="2:15" ht="21" customHeight="1" x14ac:dyDescent="0.3">
      <c r="B226" s="11" t="s">
        <v>14</v>
      </c>
      <c r="C226" s="12">
        <v>1</v>
      </c>
      <c r="D226" s="13" t="s">
        <v>48</v>
      </c>
      <c r="E226" s="11" t="s">
        <v>16</v>
      </c>
      <c r="F226" s="11" t="s">
        <v>46</v>
      </c>
      <c r="G226" s="14">
        <v>3</v>
      </c>
      <c r="H226" s="15">
        <v>15000000</v>
      </c>
      <c r="I226" s="11">
        <v>2</v>
      </c>
      <c r="J226" s="16">
        <v>1.3888888888888889E-3</v>
      </c>
      <c r="K226" s="11" t="s">
        <v>18</v>
      </c>
      <c r="L226" s="11" t="s">
        <v>38</v>
      </c>
      <c r="M226" s="11" t="s">
        <v>47</v>
      </c>
      <c r="N226" s="11" t="s">
        <v>27</v>
      </c>
      <c r="O226" s="11" t="s">
        <v>28</v>
      </c>
    </row>
    <row r="227" spans="2:15" ht="21" customHeight="1" x14ac:dyDescent="0.3">
      <c r="B227" s="4" t="s">
        <v>14</v>
      </c>
      <c r="C227" s="5">
        <v>30</v>
      </c>
      <c r="D227" s="6" t="s">
        <v>48</v>
      </c>
      <c r="E227" s="4" t="s">
        <v>42</v>
      </c>
      <c r="F227" s="4" t="s">
        <v>24</v>
      </c>
      <c r="G227" s="7">
        <v>5</v>
      </c>
      <c r="H227" s="1">
        <v>21000000</v>
      </c>
      <c r="I227" s="4">
        <v>3</v>
      </c>
      <c r="J227" s="8">
        <v>1.3888888888888889E-3</v>
      </c>
      <c r="K227" s="4" t="s">
        <v>18</v>
      </c>
      <c r="L227" s="4" t="s">
        <v>60</v>
      </c>
      <c r="M227" s="4" t="s">
        <v>52</v>
      </c>
      <c r="N227" s="4" t="s">
        <v>27</v>
      </c>
      <c r="O227" s="4" t="s">
        <v>56</v>
      </c>
    </row>
    <row r="228" spans="2:15" ht="21" customHeight="1" x14ac:dyDescent="0.3">
      <c r="B228" s="11" t="s">
        <v>14</v>
      </c>
      <c r="C228" s="12">
        <v>11</v>
      </c>
      <c r="D228" s="13" t="s">
        <v>61</v>
      </c>
      <c r="E228" s="11" t="s">
        <v>77</v>
      </c>
      <c r="F228" s="11" t="s">
        <v>17</v>
      </c>
      <c r="G228" s="14">
        <v>2</v>
      </c>
      <c r="H228" s="15">
        <v>38000000</v>
      </c>
      <c r="I228" s="11">
        <v>3</v>
      </c>
      <c r="J228" s="16">
        <v>1.3888888888888889E-3</v>
      </c>
      <c r="K228" s="11" t="s">
        <v>50</v>
      </c>
      <c r="L228" s="11" t="s">
        <v>43</v>
      </c>
      <c r="M228" s="11" t="s">
        <v>35</v>
      </c>
      <c r="N228" s="11" t="s">
        <v>21</v>
      </c>
      <c r="O228" s="11" t="s">
        <v>57</v>
      </c>
    </row>
    <row r="229" spans="2:15" ht="21" customHeight="1" x14ac:dyDescent="0.3">
      <c r="B229" s="4" t="s">
        <v>74</v>
      </c>
      <c r="C229" s="5">
        <v>11</v>
      </c>
      <c r="D229" s="6" t="s">
        <v>48</v>
      </c>
      <c r="E229" s="4" t="s">
        <v>53</v>
      </c>
      <c r="F229" s="4" t="s">
        <v>46</v>
      </c>
      <c r="G229" s="7">
        <v>0</v>
      </c>
      <c r="H229" s="1">
        <v>0</v>
      </c>
      <c r="I229" s="4">
        <v>2</v>
      </c>
      <c r="J229" s="8">
        <v>1.3888888888888889E-3</v>
      </c>
      <c r="K229" s="4"/>
      <c r="L229" s="4"/>
      <c r="M229" s="4" t="s">
        <v>26</v>
      </c>
      <c r="N229" s="4" t="s">
        <v>36</v>
      </c>
      <c r="O229" s="4" t="s">
        <v>37</v>
      </c>
    </row>
    <row r="230" spans="2:15" ht="21" customHeight="1" x14ac:dyDescent="0.3">
      <c r="B230" s="11" t="s">
        <v>74</v>
      </c>
      <c r="C230" s="12">
        <v>29</v>
      </c>
      <c r="D230" s="13" t="s">
        <v>48</v>
      </c>
      <c r="E230" s="11" t="s">
        <v>16</v>
      </c>
      <c r="F230" s="11" t="s">
        <v>46</v>
      </c>
      <c r="G230" s="14">
        <v>0</v>
      </c>
      <c r="H230" s="15">
        <v>0</v>
      </c>
      <c r="I230" s="11">
        <v>3</v>
      </c>
      <c r="J230" s="16">
        <v>1.3888888888888889E-3</v>
      </c>
      <c r="K230" s="11"/>
      <c r="L230" s="11"/>
      <c r="M230" s="11" t="s">
        <v>52</v>
      </c>
      <c r="N230" s="11" t="s">
        <v>27</v>
      </c>
      <c r="O230" s="11" t="s">
        <v>56</v>
      </c>
    </row>
    <row r="231" spans="2:15" ht="21" customHeight="1" x14ac:dyDescent="0.3">
      <c r="B231" s="4" t="s">
        <v>14</v>
      </c>
      <c r="C231" s="5">
        <v>12</v>
      </c>
      <c r="D231" s="6" t="s">
        <v>61</v>
      </c>
      <c r="E231" s="4" t="s">
        <v>34</v>
      </c>
      <c r="F231" s="4" t="s">
        <v>17</v>
      </c>
      <c r="G231" s="7">
        <v>1</v>
      </c>
      <c r="H231" s="1">
        <v>19000000</v>
      </c>
      <c r="I231" s="4">
        <v>5</v>
      </c>
      <c r="J231" s="8">
        <v>1.3888888888888889E-3</v>
      </c>
      <c r="K231" s="4" t="s">
        <v>50</v>
      </c>
      <c r="L231" s="4" t="s">
        <v>38</v>
      </c>
      <c r="M231" s="4" t="s">
        <v>52</v>
      </c>
      <c r="N231" s="4" t="s">
        <v>39</v>
      </c>
      <c r="O231" s="4" t="s">
        <v>71</v>
      </c>
    </row>
    <row r="232" spans="2:15" ht="21" customHeight="1" x14ac:dyDescent="0.3">
      <c r="B232" s="11" t="s">
        <v>14</v>
      </c>
      <c r="C232" s="12">
        <v>11</v>
      </c>
      <c r="D232" s="13" t="s">
        <v>62</v>
      </c>
      <c r="E232" s="11" t="s">
        <v>16</v>
      </c>
      <c r="F232" s="11" t="s">
        <v>46</v>
      </c>
      <c r="G232" s="14">
        <v>4</v>
      </c>
      <c r="H232" s="15">
        <v>20000000</v>
      </c>
      <c r="I232" s="11">
        <v>1</v>
      </c>
      <c r="J232" s="16">
        <v>1.3888888888888889E-3</v>
      </c>
      <c r="K232" s="11" t="s">
        <v>18</v>
      </c>
      <c r="L232" s="11" t="s">
        <v>31</v>
      </c>
      <c r="M232" s="11" t="s">
        <v>32</v>
      </c>
      <c r="N232" s="11" t="s">
        <v>27</v>
      </c>
      <c r="O232" s="11" t="s">
        <v>33</v>
      </c>
    </row>
    <row r="233" spans="2:15" ht="21" customHeight="1" x14ac:dyDescent="0.3">
      <c r="B233" s="4" t="s">
        <v>14</v>
      </c>
      <c r="C233" s="5">
        <v>19</v>
      </c>
      <c r="D233" s="6" t="s">
        <v>41</v>
      </c>
      <c r="E233" s="4" t="s">
        <v>53</v>
      </c>
      <c r="F233" s="4" t="s">
        <v>24</v>
      </c>
      <c r="G233" s="7">
        <v>4</v>
      </c>
      <c r="H233" s="1">
        <v>11000000</v>
      </c>
      <c r="I233" s="4">
        <v>1</v>
      </c>
      <c r="J233" s="8">
        <v>1.3888888888888889E-3</v>
      </c>
      <c r="K233" s="4" t="s">
        <v>65</v>
      </c>
      <c r="L233" s="4" t="s">
        <v>60</v>
      </c>
      <c r="M233" s="4" t="s">
        <v>35</v>
      </c>
      <c r="N233" s="4" t="s">
        <v>21</v>
      </c>
      <c r="O233" s="4" t="s">
        <v>22</v>
      </c>
    </row>
    <row r="234" spans="2:15" ht="21" customHeight="1" x14ac:dyDescent="0.3">
      <c r="B234" s="11" t="s">
        <v>14</v>
      </c>
      <c r="C234" s="12">
        <v>5</v>
      </c>
      <c r="D234" s="13" t="s">
        <v>41</v>
      </c>
      <c r="E234" s="11" t="s">
        <v>53</v>
      </c>
      <c r="F234" s="11" t="s">
        <v>24</v>
      </c>
      <c r="G234" s="14">
        <v>5</v>
      </c>
      <c r="H234" s="15">
        <v>25000000</v>
      </c>
      <c r="I234" s="11">
        <v>2</v>
      </c>
      <c r="J234" s="16">
        <v>1.3888888888888889E-3</v>
      </c>
      <c r="K234" s="11" t="s">
        <v>18</v>
      </c>
      <c r="L234" s="11" t="s">
        <v>60</v>
      </c>
      <c r="M234" s="11" t="s">
        <v>32</v>
      </c>
      <c r="N234" s="11" t="s">
        <v>36</v>
      </c>
      <c r="O234" s="11" t="s">
        <v>58</v>
      </c>
    </row>
    <row r="235" spans="2:15" ht="21" customHeight="1" x14ac:dyDescent="0.3">
      <c r="B235" s="4" t="s">
        <v>14</v>
      </c>
      <c r="C235" s="5">
        <v>22</v>
      </c>
      <c r="D235" s="6" t="s">
        <v>41</v>
      </c>
      <c r="E235" s="4" t="s">
        <v>77</v>
      </c>
      <c r="F235" s="4" t="s">
        <v>24</v>
      </c>
      <c r="G235" s="7">
        <v>2</v>
      </c>
      <c r="H235" s="1">
        <v>12000000</v>
      </c>
      <c r="I235" s="4">
        <v>2</v>
      </c>
      <c r="J235" s="8">
        <v>1.3888888888888889E-3</v>
      </c>
      <c r="K235" s="4" t="s">
        <v>18</v>
      </c>
      <c r="L235" s="4" t="s">
        <v>60</v>
      </c>
      <c r="M235" s="4" t="s">
        <v>44</v>
      </c>
      <c r="N235" s="4" t="s">
        <v>21</v>
      </c>
      <c r="O235" s="4" t="s">
        <v>45</v>
      </c>
    </row>
    <row r="236" spans="2:15" ht="21" customHeight="1" x14ac:dyDescent="0.3">
      <c r="B236" s="11" t="s">
        <v>14</v>
      </c>
      <c r="C236" s="12">
        <v>8</v>
      </c>
      <c r="D236" s="13" t="s">
        <v>41</v>
      </c>
      <c r="E236" s="11" t="s">
        <v>53</v>
      </c>
      <c r="F236" s="11" t="s">
        <v>46</v>
      </c>
      <c r="G236" s="14">
        <v>2</v>
      </c>
      <c r="H236" s="15">
        <v>12000000</v>
      </c>
      <c r="I236" s="11">
        <v>3</v>
      </c>
      <c r="J236" s="16">
        <v>1.3888888888888889E-3</v>
      </c>
      <c r="K236" s="11" t="s">
        <v>18</v>
      </c>
      <c r="L236" s="11" t="s">
        <v>19</v>
      </c>
      <c r="M236" s="11" t="s">
        <v>47</v>
      </c>
      <c r="N236" s="11" t="s">
        <v>27</v>
      </c>
      <c r="O236" s="11" t="s">
        <v>33</v>
      </c>
    </row>
    <row r="237" spans="2:15" ht="21" customHeight="1" x14ac:dyDescent="0.3">
      <c r="B237" s="4" t="s">
        <v>14</v>
      </c>
      <c r="C237" s="5">
        <v>22</v>
      </c>
      <c r="D237" s="6" t="s">
        <v>48</v>
      </c>
      <c r="E237" s="4" t="s">
        <v>42</v>
      </c>
      <c r="F237" s="4" t="s">
        <v>46</v>
      </c>
      <c r="G237" s="7">
        <v>3</v>
      </c>
      <c r="H237" s="1">
        <v>15000000</v>
      </c>
      <c r="I237" s="4">
        <v>1</v>
      </c>
      <c r="J237" s="8">
        <v>1.3888888888888889E-3</v>
      </c>
      <c r="K237" s="4" t="s">
        <v>18</v>
      </c>
      <c r="L237" s="4" t="s">
        <v>54</v>
      </c>
      <c r="M237" s="4" t="s">
        <v>44</v>
      </c>
      <c r="N237" s="4" t="s">
        <v>21</v>
      </c>
      <c r="O237" s="4" t="s">
        <v>66</v>
      </c>
    </row>
    <row r="238" spans="2:15" ht="21" customHeight="1" x14ac:dyDescent="0.3">
      <c r="B238" s="11" t="s">
        <v>14</v>
      </c>
      <c r="C238" s="12">
        <v>11</v>
      </c>
      <c r="D238" s="13" t="s">
        <v>48</v>
      </c>
      <c r="E238" s="11" t="s">
        <v>30</v>
      </c>
      <c r="F238" s="11" t="s">
        <v>49</v>
      </c>
      <c r="G238" s="14">
        <v>5</v>
      </c>
      <c r="H238" s="15">
        <v>21000000</v>
      </c>
      <c r="I238" s="11">
        <v>4</v>
      </c>
      <c r="J238" s="16">
        <v>1.3888888888888889E-3</v>
      </c>
      <c r="K238" s="11" t="s">
        <v>18</v>
      </c>
      <c r="L238" s="11" t="s">
        <v>19</v>
      </c>
      <c r="M238" s="11" t="s">
        <v>20</v>
      </c>
      <c r="N238" s="11" t="s">
        <v>27</v>
      </c>
      <c r="O238" s="11" t="s">
        <v>28</v>
      </c>
    </row>
    <row r="239" spans="2:15" ht="21" customHeight="1" x14ac:dyDescent="0.3">
      <c r="B239" s="4" t="s">
        <v>14</v>
      </c>
      <c r="C239" s="5">
        <v>17</v>
      </c>
      <c r="D239" s="6" t="s">
        <v>48</v>
      </c>
      <c r="E239" s="4" t="s">
        <v>16</v>
      </c>
      <c r="F239" s="4" t="s">
        <v>46</v>
      </c>
      <c r="G239" s="7">
        <v>3</v>
      </c>
      <c r="H239" s="1">
        <v>15000000</v>
      </c>
      <c r="I239" s="4">
        <v>1</v>
      </c>
      <c r="J239" s="8">
        <v>1.3888888888888889E-3</v>
      </c>
      <c r="K239" s="4" t="s">
        <v>18</v>
      </c>
      <c r="L239" s="4" t="s">
        <v>31</v>
      </c>
      <c r="M239" s="4" t="s">
        <v>52</v>
      </c>
      <c r="N239" s="4" t="s">
        <v>27</v>
      </c>
      <c r="O239" s="4" t="s">
        <v>33</v>
      </c>
    </row>
    <row r="240" spans="2:15" ht="21" customHeight="1" x14ac:dyDescent="0.3">
      <c r="B240" s="11" t="s">
        <v>14</v>
      </c>
      <c r="C240" s="12">
        <v>12</v>
      </c>
      <c r="D240" s="13" t="s">
        <v>61</v>
      </c>
      <c r="E240" s="11" t="s">
        <v>34</v>
      </c>
      <c r="F240" s="11" t="s">
        <v>17</v>
      </c>
      <c r="G240" s="14">
        <v>1</v>
      </c>
      <c r="H240" s="15">
        <v>19000000</v>
      </c>
      <c r="I240" s="11">
        <v>5</v>
      </c>
      <c r="J240" s="16">
        <v>1.3888888888888889E-3</v>
      </c>
      <c r="K240" s="11" t="s">
        <v>50</v>
      </c>
      <c r="L240" s="11" t="s">
        <v>38</v>
      </c>
      <c r="M240" s="11" t="s">
        <v>52</v>
      </c>
      <c r="N240" s="11" t="s">
        <v>39</v>
      </c>
      <c r="O240" s="11" t="s">
        <v>71</v>
      </c>
    </row>
    <row r="241" spans="2:15" ht="21" customHeight="1" x14ac:dyDescent="0.3">
      <c r="B241" s="4" t="s">
        <v>14</v>
      </c>
      <c r="C241" s="5">
        <v>11</v>
      </c>
      <c r="D241" s="6" t="s">
        <v>62</v>
      </c>
      <c r="E241" s="4" t="s">
        <v>16</v>
      </c>
      <c r="F241" s="4" t="s">
        <v>46</v>
      </c>
      <c r="G241" s="7">
        <v>4</v>
      </c>
      <c r="H241" s="1">
        <v>20000000</v>
      </c>
      <c r="I241" s="4">
        <v>1</v>
      </c>
      <c r="J241" s="8">
        <v>1.3888888888888889E-3</v>
      </c>
      <c r="K241" s="4" t="s">
        <v>18</v>
      </c>
      <c r="L241" s="4" t="s">
        <v>31</v>
      </c>
      <c r="M241" s="4" t="s">
        <v>32</v>
      </c>
      <c r="N241" s="4" t="s">
        <v>27</v>
      </c>
      <c r="O241" s="4" t="s">
        <v>33</v>
      </c>
    </row>
    <row r="242" spans="2:15" ht="21" customHeight="1" x14ac:dyDescent="0.3">
      <c r="B242" s="11" t="s">
        <v>74</v>
      </c>
      <c r="C242" s="12">
        <v>5</v>
      </c>
      <c r="D242" s="13" t="s">
        <v>63</v>
      </c>
      <c r="E242" s="11" t="s">
        <v>16</v>
      </c>
      <c r="F242" s="11" t="s">
        <v>24</v>
      </c>
      <c r="G242" s="14">
        <v>0</v>
      </c>
      <c r="H242" s="15">
        <v>0</v>
      </c>
      <c r="I242" s="11">
        <v>1</v>
      </c>
      <c r="J242" s="16">
        <v>1.3888888888888889E-3</v>
      </c>
      <c r="K242" s="11"/>
      <c r="L242" s="11"/>
      <c r="M242" s="11" t="s">
        <v>47</v>
      </c>
      <c r="N242" s="11" t="s">
        <v>21</v>
      </c>
      <c r="O242" s="11" t="s">
        <v>67</v>
      </c>
    </row>
    <row r="243" spans="2:15" ht="21" customHeight="1" x14ac:dyDescent="0.3">
      <c r="B243" s="4" t="s">
        <v>74</v>
      </c>
      <c r="C243" s="5">
        <v>29</v>
      </c>
      <c r="D243" s="6" t="s">
        <v>29</v>
      </c>
      <c r="E243" s="4" t="s">
        <v>16</v>
      </c>
      <c r="F243" s="4" t="s">
        <v>46</v>
      </c>
      <c r="G243" s="7">
        <v>0</v>
      </c>
      <c r="H243" s="1">
        <v>0</v>
      </c>
      <c r="I243" s="4">
        <v>4</v>
      </c>
      <c r="J243" s="8">
        <v>1.3888888888888889E-3</v>
      </c>
      <c r="K243" s="4"/>
      <c r="L243" s="4"/>
      <c r="M243" s="4" t="s">
        <v>52</v>
      </c>
      <c r="N243" s="4" t="s">
        <v>21</v>
      </c>
      <c r="O243" s="4" t="s">
        <v>66</v>
      </c>
    </row>
    <row r="244" spans="2:15" ht="21" customHeight="1" x14ac:dyDescent="0.3">
      <c r="B244" s="11" t="s">
        <v>74</v>
      </c>
      <c r="C244" s="12">
        <v>11</v>
      </c>
      <c r="D244" s="13" t="s">
        <v>41</v>
      </c>
      <c r="E244" s="11" t="s">
        <v>30</v>
      </c>
      <c r="F244" s="11" t="s">
        <v>46</v>
      </c>
      <c r="G244" s="14">
        <v>0</v>
      </c>
      <c r="H244" s="15">
        <v>0</v>
      </c>
      <c r="I244" s="11">
        <v>1</v>
      </c>
      <c r="J244" s="16">
        <v>1.3888888888888889E-3</v>
      </c>
      <c r="K244" s="11"/>
      <c r="L244" s="11"/>
      <c r="M244" s="11" t="s">
        <v>55</v>
      </c>
      <c r="N244" s="11" t="s">
        <v>36</v>
      </c>
      <c r="O244" s="11" t="s">
        <v>69</v>
      </c>
    </row>
    <row r="245" spans="2:15" ht="21" customHeight="1" x14ac:dyDescent="0.3">
      <c r="B245" s="4" t="s">
        <v>74</v>
      </c>
      <c r="C245" s="5">
        <v>23</v>
      </c>
      <c r="D245" s="6" t="s">
        <v>48</v>
      </c>
      <c r="E245" s="4" t="s">
        <v>42</v>
      </c>
      <c r="F245" s="4" t="s">
        <v>24</v>
      </c>
      <c r="G245" s="7">
        <v>0</v>
      </c>
      <c r="H245" s="1">
        <v>0</v>
      </c>
      <c r="I245" s="4">
        <v>1</v>
      </c>
      <c r="J245" s="8">
        <v>1.3888888888888889E-3</v>
      </c>
      <c r="K245" s="4"/>
      <c r="L245" s="4"/>
      <c r="M245" s="4" t="s">
        <v>32</v>
      </c>
      <c r="N245" s="4" t="s">
        <v>27</v>
      </c>
      <c r="O245" s="4" t="s">
        <v>33</v>
      </c>
    </row>
    <row r="246" spans="2:15" ht="21" customHeight="1" x14ac:dyDescent="0.3">
      <c r="B246" s="11" t="s">
        <v>74</v>
      </c>
      <c r="C246" s="12">
        <v>5</v>
      </c>
      <c r="D246" s="13" t="s">
        <v>63</v>
      </c>
      <c r="E246" s="11" t="s">
        <v>16</v>
      </c>
      <c r="F246" s="11" t="s">
        <v>24</v>
      </c>
      <c r="G246" s="14">
        <v>0</v>
      </c>
      <c r="H246" s="15">
        <v>0</v>
      </c>
      <c r="I246" s="11">
        <v>1</v>
      </c>
      <c r="J246" s="16">
        <v>1.3888888888888889E-3</v>
      </c>
      <c r="K246" s="11"/>
      <c r="L246" s="11"/>
      <c r="M246" s="11" t="s">
        <v>47</v>
      </c>
      <c r="N246" s="11" t="s">
        <v>21</v>
      </c>
      <c r="O246" s="11" t="s">
        <v>67</v>
      </c>
    </row>
    <row r="247" spans="2:15" ht="21" customHeight="1" x14ac:dyDescent="0.3">
      <c r="B247" s="4" t="s">
        <v>14</v>
      </c>
      <c r="C247" s="5">
        <v>2</v>
      </c>
      <c r="D247" s="6" t="s">
        <v>59</v>
      </c>
      <c r="E247" s="4" t="s">
        <v>34</v>
      </c>
      <c r="F247" s="4" t="s">
        <v>46</v>
      </c>
      <c r="G247" s="7">
        <v>4</v>
      </c>
      <c r="H247" s="1">
        <v>15000000</v>
      </c>
      <c r="I247" s="4">
        <v>3</v>
      </c>
      <c r="J247" s="8">
        <v>1.3888888888888889E-3</v>
      </c>
      <c r="K247" s="4" t="s">
        <v>18</v>
      </c>
      <c r="L247" s="4" t="s">
        <v>25</v>
      </c>
      <c r="M247" s="4" t="s">
        <v>26</v>
      </c>
      <c r="N247" s="4" t="s">
        <v>21</v>
      </c>
      <c r="O247" s="4" t="s">
        <v>45</v>
      </c>
    </row>
    <row r="248" spans="2:15" ht="21" customHeight="1" x14ac:dyDescent="0.3">
      <c r="B248" s="11" t="s">
        <v>14</v>
      </c>
      <c r="C248" s="12">
        <v>11</v>
      </c>
      <c r="D248" s="13" t="s">
        <v>61</v>
      </c>
      <c r="E248" s="11" t="s">
        <v>42</v>
      </c>
      <c r="F248" s="11" t="s">
        <v>46</v>
      </c>
      <c r="G248" s="14">
        <v>2</v>
      </c>
      <c r="H248" s="15">
        <v>12000000</v>
      </c>
      <c r="I248" s="11">
        <v>1</v>
      </c>
      <c r="J248" s="16">
        <v>1.3888888888888889E-3</v>
      </c>
      <c r="K248" s="11" t="s">
        <v>18</v>
      </c>
      <c r="L248" s="11" t="s">
        <v>19</v>
      </c>
      <c r="M248" s="11" t="s">
        <v>26</v>
      </c>
      <c r="N248" s="11" t="s">
        <v>21</v>
      </c>
      <c r="O248" s="11" t="s">
        <v>57</v>
      </c>
    </row>
    <row r="249" spans="2:15" ht="21" customHeight="1" x14ac:dyDescent="0.3">
      <c r="B249" s="4" t="s">
        <v>14</v>
      </c>
      <c r="C249" s="5">
        <v>1</v>
      </c>
      <c r="D249" s="6" t="s">
        <v>63</v>
      </c>
      <c r="E249" s="4" t="s">
        <v>34</v>
      </c>
      <c r="F249" s="4" t="s">
        <v>49</v>
      </c>
      <c r="G249" s="7">
        <v>1</v>
      </c>
      <c r="H249" s="1">
        <v>19000000</v>
      </c>
      <c r="I249" s="4">
        <v>2</v>
      </c>
      <c r="J249" s="8">
        <v>1.3888888888888889E-3</v>
      </c>
      <c r="K249" s="4" t="s">
        <v>50</v>
      </c>
      <c r="L249" s="4" t="s">
        <v>43</v>
      </c>
      <c r="M249" s="4" t="s">
        <v>32</v>
      </c>
      <c r="N249" s="4" t="s">
        <v>36</v>
      </c>
      <c r="O249" s="4" t="s">
        <v>69</v>
      </c>
    </row>
    <row r="250" spans="2:15" ht="21" customHeight="1" x14ac:dyDescent="0.3">
      <c r="B250" s="11" t="s">
        <v>14</v>
      </c>
      <c r="C250" s="12">
        <v>1</v>
      </c>
      <c r="D250" s="13" t="s">
        <v>64</v>
      </c>
      <c r="E250" s="11" t="s">
        <v>53</v>
      </c>
      <c r="F250" s="11" t="s">
        <v>24</v>
      </c>
      <c r="G250" s="14">
        <v>3</v>
      </c>
      <c r="H250" s="15">
        <v>15000000</v>
      </c>
      <c r="I250" s="11">
        <v>2</v>
      </c>
      <c r="J250" s="16">
        <v>1.3888888888888889E-3</v>
      </c>
      <c r="K250" s="11" t="s">
        <v>18</v>
      </c>
      <c r="L250" s="11" t="s">
        <v>60</v>
      </c>
      <c r="M250" s="11" t="s">
        <v>55</v>
      </c>
      <c r="N250" s="11" t="s">
        <v>27</v>
      </c>
      <c r="O250" s="11" t="s">
        <v>33</v>
      </c>
    </row>
    <row r="251" spans="2:15" ht="21" customHeight="1" x14ac:dyDescent="0.3">
      <c r="B251" s="4" t="s">
        <v>14</v>
      </c>
      <c r="C251" s="5">
        <v>12</v>
      </c>
      <c r="D251" s="6" t="s">
        <v>29</v>
      </c>
      <c r="E251" s="4" t="s">
        <v>77</v>
      </c>
      <c r="F251" s="4" t="s">
        <v>46</v>
      </c>
      <c r="G251" s="7">
        <v>2</v>
      </c>
      <c r="H251" s="1">
        <v>38000000</v>
      </c>
      <c r="I251" s="4">
        <v>6</v>
      </c>
      <c r="J251" s="8">
        <v>1.3888888888888889E-3</v>
      </c>
      <c r="K251" s="4" t="s">
        <v>50</v>
      </c>
      <c r="L251" s="4" t="s">
        <v>38</v>
      </c>
      <c r="M251" s="4" t="s">
        <v>32</v>
      </c>
      <c r="N251" s="4" t="s">
        <v>21</v>
      </c>
      <c r="O251" s="4" t="s">
        <v>67</v>
      </c>
    </row>
    <row r="252" spans="2:15" ht="21" customHeight="1" x14ac:dyDescent="0.3">
      <c r="B252" s="11" t="s">
        <v>14</v>
      </c>
      <c r="C252" s="12">
        <v>7</v>
      </c>
      <c r="D252" s="13" t="s">
        <v>29</v>
      </c>
      <c r="E252" s="11" t="s">
        <v>16</v>
      </c>
      <c r="F252" s="11" t="s">
        <v>24</v>
      </c>
      <c r="G252" s="14">
        <v>5</v>
      </c>
      <c r="H252" s="15">
        <v>21000000</v>
      </c>
      <c r="I252" s="11">
        <v>5</v>
      </c>
      <c r="J252" s="16">
        <v>1.3888888888888889E-3</v>
      </c>
      <c r="K252" s="11" t="s">
        <v>18</v>
      </c>
      <c r="L252" s="11" t="s">
        <v>25</v>
      </c>
      <c r="M252" s="11" t="s">
        <v>47</v>
      </c>
      <c r="N252" s="11" t="s">
        <v>27</v>
      </c>
      <c r="O252" s="11" t="s">
        <v>28</v>
      </c>
    </row>
    <row r="253" spans="2:15" ht="21" customHeight="1" x14ac:dyDescent="0.3">
      <c r="B253" s="4" t="s">
        <v>14</v>
      </c>
      <c r="C253" s="5">
        <v>11</v>
      </c>
      <c r="D253" s="6" t="s">
        <v>29</v>
      </c>
      <c r="E253" s="4" t="s">
        <v>30</v>
      </c>
      <c r="F253" s="4" t="s">
        <v>46</v>
      </c>
      <c r="G253" s="7">
        <v>5</v>
      </c>
      <c r="H253" s="1">
        <v>25000000</v>
      </c>
      <c r="I253" s="4">
        <v>5</v>
      </c>
      <c r="J253" s="8">
        <v>1.3888888888888889E-3</v>
      </c>
      <c r="K253" s="4" t="s">
        <v>18</v>
      </c>
      <c r="L253" s="4" t="s">
        <v>43</v>
      </c>
      <c r="M253" s="4" t="s">
        <v>35</v>
      </c>
      <c r="N253" s="4" t="s">
        <v>27</v>
      </c>
      <c r="O253" s="4" t="s">
        <v>33</v>
      </c>
    </row>
    <row r="254" spans="2:15" ht="21" customHeight="1" x14ac:dyDescent="0.3">
      <c r="B254" s="11" t="s">
        <v>14</v>
      </c>
      <c r="C254" s="12">
        <v>29</v>
      </c>
      <c r="D254" s="13" t="s">
        <v>29</v>
      </c>
      <c r="E254" s="11" t="s">
        <v>53</v>
      </c>
      <c r="F254" s="11" t="s">
        <v>46</v>
      </c>
      <c r="G254" s="14">
        <v>1</v>
      </c>
      <c r="H254" s="15">
        <v>7000000</v>
      </c>
      <c r="I254" s="11">
        <v>2</v>
      </c>
      <c r="J254" s="16">
        <v>1.3888888888888889E-3</v>
      </c>
      <c r="K254" s="11" t="s">
        <v>18</v>
      </c>
      <c r="L254" s="11" t="s">
        <v>51</v>
      </c>
      <c r="M254" s="11" t="s">
        <v>44</v>
      </c>
      <c r="N254" s="11" t="s">
        <v>39</v>
      </c>
      <c r="O254" s="11" t="s">
        <v>71</v>
      </c>
    </row>
    <row r="255" spans="2:15" ht="21" customHeight="1" x14ac:dyDescent="0.3">
      <c r="B255" s="4" t="s">
        <v>14</v>
      </c>
      <c r="C255" s="5">
        <v>3</v>
      </c>
      <c r="D255" s="6" t="s">
        <v>41</v>
      </c>
      <c r="E255" s="4" t="s">
        <v>42</v>
      </c>
      <c r="F255" s="4" t="s">
        <v>46</v>
      </c>
      <c r="G255" s="7">
        <v>2</v>
      </c>
      <c r="H255" s="1">
        <v>38000000</v>
      </c>
      <c r="I255" s="4">
        <v>3</v>
      </c>
      <c r="J255" s="8">
        <v>1.3888888888888889E-3</v>
      </c>
      <c r="K255" s="4" t="s">
        <v>50</v>
      </c>
      <c r="L255" s="4" t="s">
        <v>31</v>
      </c>
      <c r="M255" s="4" t="s">
        <v>32</v>
      </c>
      <c r="N255" s="4" t="s">
        <v>36</v>
      </c>
      <c r="O255" s="4" t="s">
        <v>69</v>
      </c>
    </row>
    <row r="256" spans="2:15" ht="21" customHeight="1" x14ac:dyDescent="0.3">
      <c r="B256" s="11" t="s">
        <v>14</v>
      </c>
      <c r="C256" s="12">
        <v>6</v>
      </c>
      <c r="D256" s="13" t="s">
        <v>41</v>
      </c>
      <c r="E256" s="11" t="s">
        <v>42</v>
      </c>
      <c r="F256" s="11" t="s">
        <v>46</v>
      </c>
      <c r="G256" s="14">
        <v>1</v>
      </c>
      <c r="H256" s="15">
        <v>19000000</v>
      </c>
      <c r="I256" s="11">
        <v>1</v>
      </c>
      <c r="J256" s="16">
        <v>1.3888888888888889E-3</v>
      </c>
      <c r="K256" s="11" t="s">
        <v>50</v>
      </c>
      <c r="L256" s="11" t="s">
        <v>19</v>
      </c>
      <c r="M256" s="11" t="s">
        <v>44</v>
      </c>
      <c r="N256" s="11" t="s">
        <v>39</v>
      </c>
      <c r="O256" s="11" t="s">
        <v>40</v>
      </c>
    </row>
    <row r="257" spans="2:15" ht="21" customHeight="1" x14ac:dyDescent="0.3">
      <c r="B257" s="4" t="s">
        <v>14</v>
      </c>
      <c r="C257" s="5">
        <v>26</v>
      </c>
      <c r="D257" s="6" t="s">
        <v>41</v>
      </c>
      <c r="E257" s="4" t="s">
        <v>16</v>
      </c>
      <c r="F257" s="4" t="s">
        <v>24</v>
      </c>
      <c r="G257" s="7">
        <v>4</v>
      </c>
      <c r="H257" s="1">
        <v>20000000</v>
      </c>
      <c r="I257" s="4">
        <v>3</v>
      </c>
      <c r="J257" s="8">
        <v>1.3888888888888889E-3</v>
      </c>
      <c r="K257" s="4" t="s">
        <v>65</v>
      </c>
      <c r="L257" s="4" t="s">
        <v>19</v>
      </c>
      <c r="M257" s="4" t="s">
        <v>52</v>
      </c>
      <c r="N257" s="4" t="s">
        <v>21</v>
      </c>
      <c r="O257" s="4" t="s">
        <v>67</v>
      </c>
    </row>
    <row r="258" spans="2:15" ht="21" customHeight="1" x14ac:dyDescent="0.3">
      <c r="B258" s="11" t="s">
        <v>14</v>
      </c>
      <c r="C258" s="12">
        <v>1</v>
      </c>
      <c r="D258" s="13" t="s">
        <v>41</v>
      </c>
      <c r="E258" s="11" t="s">
        <v>16</v>
      </c>
      <c r="F258" s="11" t="s">
        <v>17</v>
      </c>
      <c r="G258" s="14">
        <v>1</v>
      </c>
      <c r="H258" s="15">
        <v>7000000</v>
      </c>
      <c r="I258" s="11">
        <v>4</v>
      </c>
      <c r="J258" s="16">
        <v>1.3888888888888889E-3</v>
      </c>
      <c r="K258" s="11" t="s">
        <v>18</v>
      </c>
      <c r="L258" s="11" t="s">
        <v>31</v>
      </c>
      <c r="M258" s="11" t="s">
        <v>32</v>
      </c>
      <c r="N258" s="11" t="s">
        <v>27</v>
      </c>
      <c r="O258" s="11" t="s">
        <v>33</v>
      </c>
    </row>
    <row r="259" spans="2:15" ht="21" customHeight="1" x14ac:dyDescent="0.3">
      <c r="B259" s="4" t="s">
        <v>14</v>
      </c>
      <c r="C259" s="5">
        <v>1</v>
      </c>
      <c r="D259" s="6" t="s">
        <v>41</v>
      </c>
      <c r="E259" s="4" t="s">
        <v>34</v>
      </c>
      <c r="F259" s="4" t="s">
        <v>24</v>
      </c>
      <c r="G259" s="7">
        <v>2</v>
      </c>
      <c r="H259" s="1">
        <v>12000000</v>
      </c>
      <c r="I259" s="4">
        <v>4</v>
      </c>
      <c r="J259" s="8">
        <v>1.3888888888888889E-3</v>
      </c>
      <c r="K259" s="4" t="s">
        <v>18</v>
      </c>
      <c r="L259" s="4" t="s">
        <v>60</v>
      </c>
      <c r="M259" s="4" t="s">
        <v>32</v>
      </c>
      <c r="N259" s="4" t="s">
        <v>21</v>
      </c>
      <c r="O259" s="4" t="s">
        <v>70</v>
      </c>
    </row>
    <row r="260" spans="2:15" ht="21" customHeight="1" x14ac:dyDescent="0.3">
      <c r="B260" s="11" t="s">
        <v>14</v>
      </c>
      <c r="C260" s="12">
        <v>30</v>
      </c>
      <c r="D260" s="13" t="s">
        <v>41</v>
      </c>
      <c r="E260" s="11" t="s">
        <v>42</v>
      </c>
      <c r="F260" s="11" t="s">
        <v>46</v>
      </c>
      <c r="G260" s="14">
        <v>3</v>
      </c>
      <c r="H260" s="15">
        <v>15000000</v>
      </c>
      <c r="I260" s="11">
        <v>2</v>
      </c>
      <c r="J260" s="16">
        <v>1.3888888888888889E-3</v>
      </c>
      <c r="K260" s="11" t="s">
        <v>18</v>
      </c>
      <c r="L260" s="11" t="s">
        <v>54</v>
      </c>
      <c r="M260" s="11" t="s">
        <v>52</v>
      </c>
      <c r="N260" s="11" t="s">
        <v>27</v>
      </c>
      <c r="O260" s="11" t="s">
        <v>28</v>
      </c>
    </row>
    <row r="261" spans="2:15" ht="21" customHeight="1" x14ac:dyDescent="0.3">
      <c r="B261" s="4" t="s">
        <v>14</v>
      </c>
      <c r="C261" s="5">
        <v>3</v>
      </c>
      <c r="D261" s="6" t="s">
        <v>48</v>
      </c>
      <c r="E261" s="4" t="s">
        <v>34</v>
      </c>
      <c r="F261" s="4" t="s">
        <v>24</v>
      </c>
      <c r="G261" s="7">
        <v>4</v>
      </c>
      <c r="H261" s="1">
        <v>20000000</v>
      </c>
      <c r="I261" s="4">
        <v>6</v>
      </c>
      <c r="J261" s="8">
        <v>1.3888888888888889E-3</v>
      </c>
      <c r="K261" s="4" t="s">
        <v>65</v>
      </c>
      <c r="L261" s="4" t="s">
        <v>31</v>
      </c>
      <c r="M261" s="4" t="s">
        <v>35</v>
      </c>
      <c r="N261" s="4" t="s">
        <v>36</v>
      </c>
      <c r="O261" s="4" t="s">
        <v>58</v>
      </c>
    </row>
    <row r="262" spans="2:15" ht="21" customHeight="1" x14ac:dyDescent="0.3">
      <c r="B262" s="11" t="s">
        <v>14</v>
      </c>
      <c r="C262" s="12">
        <v>3</v>
      </c>
      <c r="D262" s="13" t="s">
        <v>48</v>
      </c>
      <c r="E262" s="11" t="s">
        <v>42</v>
      </c>
      <c r="F262" s="11" t="s">
        <v>49</v>
      </c>
      <c r="G262" s="14">
        <v>5</v>
      </c>
      <c r="H262" s="15">
        <v>25000000</v>
      </c>
      <c r="I262" s="11">
        <v>2</v>
      </c>
      <c r="J262" s="16">
        <v>1.3888888888888889E-3</v>
      </c>
      <c r="K262" s="11" t="s">
        <v>18</v>
      </c>
      <c r="L262" s="11" t="s">
        <v>68</v>
      </c>
      <c r="M262" s="11" t="s">
        <v>47</v>
      </c>
      <c r="N262" s="11" t="s">
        <v>21</v>
      </c>
      <c r="O262" s="11" t="s">
        <v>57</v>
      </c>
    </row>
    <row r="263" spans="2:15" ht="21" customHeight="1" x14ac:dyDescent="0.3">
      <c r="B263" s="4" t="s">
        <v>14</v>
      </c>
      <c r="C263" s="5">
        <v>10</v>
      </c>
      <c r="D263" s="6" t="s">
        <v>48</v>
      </c>
      <c r="E263" s="4" t="s">
        <v>34</v>
      </c>
      <c r="F263" s="4" t="s">
        <v>46</v>
      </c>
      <c r="G263" s="7">
        <v>2</v>
      </c>
      <c r="H263" s="1">
        <v>12000000</v>
      </c>
      <c r="I263" s="4">
        <v>1</v>
      </c>
      <c r="J263" s="8">
        <v>1.3888888888888889E-3</v>
      </c>
      <c r="K263" s="4" t="s">
        <v>18</v>
      </c>
      <c r="L263" s="4" t="s">
        <v>51</v>
      </c>
      <c r="M263" s="4" t="s">
        <v>47</v>
      </c>
      <c r="N263" s="4" t="s">
        <v>21</v>
      </c>
      <c r="O263" s="4" t="s">
        <v>70</v>
      </c>
    </row>
    <row r="264" spans="2:15" ht="21" customHeight="1" x14ac:dyDescent="0.3">
      <c r="B264" s="11" t="s">
        <v>14</v>
      </c>
      <c r="C264" s="12">
        <v>2</v>
      </c>
      <c r="D264" s="13" t="s">
        <v>48</v>
      </c>
      <c r="E264" s="11" t="s">
        <v>30</v>
      </c>
      <c r="F264" s="11" t="s">
        <v>24</v>
      </c>
      <c r="G264" s="14">
        <v>5</v>
      </c>
      <c r="H264" s="15">
        <v>25000000</v>
      </c>
      <c r="I264" s="11">
        <v>1</v>
      </c>
      <c r="J264" s="16">
        <v>1.3888888888888889E-3</v>
      </c>
      <c r="K264" s="11" t="s">
        <v>18</v>
      </c>
      <c r="L264" s="11" t="s">
        <v>31</v>
      </c>
      <c r="M264" s="11" t="s">
        <v>52</v>
      </c>
      <c r="N264" s="11" t="s">
        <v>27</v>
      </c>
      <c r="O264" s="11" t="s">
        <v>56</v>
      </c>
    </row>
    <row r="265" spans="2:15" ht="21" customHeight="1" x14ac:dyDescent="0.3">
      <c r="B265" s="4" t="s">
        <v>14</v>
      </c>
      <c r="C265" s="5">
        <v>16</v>
      </c>
      <c r="D265" s="6" t="s">
        <v>73</v>
      </c>
      <c r="E265" s="4" t="s">
        <v>16</v>
      </c>
      <c r="F265" s="4" t="s">
        <v>24</v>
      </c>
      <c r="G265" s="7">
        <v>3</v>
      </c>
      <c r="H265" s="1">
        <v>12000000</v>
      </c>
      <c r="I265" s="4">
        <v>3</v>
      </c>
      <c r="J265" s="8">
        <v>1.3888888888888889E-3</v>
      </c>
      <c r="K265" s="4" t="s">
        <v>18</v>
      </c>
      <c r="L265" s="4" t="s">
        <v>38</v>
      </c>
      <c r="M265" s="4" t="s">
        <v>35</v>
      </c>
      <c r="N265" s="4" t="s">
        <v>39</v>
      </c>
      <c r="O265" s="4" t="s">
        <v>40</v>
      </c>
    </row>
    <row r="266" spans="2:15" ht="21" customHeight="1" x14ac:dyDescent="0.3">
      <c r="B266" s="11" t="s">
        <v>14</v>
      </c>
      <c r="C266" s="12">
        <v>1</v>
      </c>
      <c r="D266" s="13" t="s">
        <v>73</v>
      </c>
      <c r="E266" s="11" t="s">
        <v>30</v>
      </c>
      <c r="F266" s="11" t="s">
        <v>46</v>
      </c>
      <c r="G266" s="14">
        <v>2</v>
      </c>
      <c r="H266" s="15">
        <v>10000000</v>
      </c>
      <c r="I266" s="11">
        <v>2</v>
      </c>
      <c r="J266" s="16">
        <v>1.3888888888888889E-3</v>
      </c>
      <c r="K266" s="11" t="s">
        <v>18</v>
      </c>
      <c r="L266" s="11" t="s">
        <v>43</v>
      </c>
      <c r="M266" s="11" t="s">
        <v>55</v>
      </c>
      <c r="N266" s="11" t="s">
        <v>36</v>
      </c>
      <c r="O266" s="11" t="s">
        <v>69</v>
      </c>
    </row>
    <row r="267" spans="2:15" ht="21" customHeight="1" x14ac:dyDescent="0.3">
      <c r="B267" s="4" t="s">
        <v>14</v>
      </c>
      <c r="C267" s="5">
        <v>2</v>
      </c>
      <c r="D267" s="6" t="s">
        <v>59</v>
      </c>
      <c r="E267" s="4" t="s">
        <v>34</v>
      </c>
      <c r="F267" s="4" t="s">
        <v>46</v>
      </c>
      <c r="G267" s="7">
        <v>4</v>
      </c>
      <c r="H267" s="1">
        <v>15000000</v>
      </c>
      <c r="I267" s="4">
        <v>3</v>
      </c>
      <c r="J267" s="8">
        <v>1.3888888888888889E-3</v>
      </c>
      <c r="K267" s="4" t="s">
        <v>18</v>
      </c>
      <c r="L267" s="4" t="s">
        <v>25</v>
      </c>
      <c r="M267" s="4" t="s">
        <v>26</v>
      </c>
      <c r="N267" s="4" t="s">
        <v>21</v>
      </c>
      <c r="O267" s="4" t="s">
        <v>45</v>
      </c>
    </row>
    <row r="268" spans="2:15" ht="21" customHeight="1" x14ac:dyDescent="0.3">
      <c r="B268" s="11" t="s">
        <v>14</v>
      </c>
      <c r="C268" s="12">
        <v>11</v>
      </c>
      <c r="D268" s="13" t="s">
        <v>61</v>
      </c>
      <c r="E268" s="11" t="s">
        <v>42</v>
      </c>
      <c r="F268" s="11" t="s">
        <v>46</v>
      </c>
      <c r="G268" s="14">
        <v>2</v>
      </c>
      <c r="H268" s="15">
        <v>12000000</v>
      </c>
      <c r="I268" s="11">
        <v>1</v>
      </c>
      <c r="J268" s="16">
        <v>1.3888888888888889E-3</v>
      </c>
      <c r="K268" s="11" t="s">
        <v>18</v>
      </c>
      <c r="L268" s="11" t="s">
        <v>19</v>
      </c>
      <c r="M268" s="11" t="s">
        <v>26</v>
      </c>
      <c r="N268" s="11" t="s">
        <v>21</v>
      </c>
      <c r="O268" s="11" t="s">
        <v>57</v>
      </c>
    </row>
    <row r="269" spans="2:15" ht="21" customHeight="1" x14ac:dyDescent="0.3">
      <c r="B269" s="4" t="s">
        <v>14</v>
      </c>
      <c r="C269" s="5">
        <v>1</v>
      </c>
      <c r="D269" s="6" t="s">
        <v>63</v>
      </c>
      <c r="E269" s="4" t="s">
        <v>34</v>
      </c>
      <c r="F269" s="4" t="s">
        <v>49</v>
      </c>
      <c r="G269" s="7">
        <v>1</v>
      </c>
      <c r="H269" s="1">
        <v>19000000</v>
      </c>
      <c r="I269" s="4">
        <v>2</v>
      </c>
      <c r="J269" s="8">
        <v>1.3888888888888889E-3</v>
      </c>
      <c r="K269" s="4" t="s">
        <v>50</v>
      </c>
      <c r="L269" s="4" t="s">
        <v>43</v>
      </c>
      <c r="M269" s="4" t="s">
        <v>32</v>
      </c>
      <c r="N269" s="4" t="s">
        <v>36</v>
      </c>
      <c r="O269" s="4" t="s">
        <v>69</v>
      </c>
    </row>
    <row r="270" spans="2:15" ht="21" customHeight="1" x14ac:dyDescent="0.3">
      <c r="B270" s="11" t="s">
        <v>14</v>
      </c>
      <c r="C270" s="12">
        <v>1</v>
      </c>
      <c r="D270" s="13" t="s">
        <v>64</v>
      </c>
      <c r="E270" s="11" t="s">
        <v>53</v>
      </c>
      <c r="F270" s="11" t="s">
        <v>24</v>
      </c>
      <c r="G270" s="14">
        <v>3</v>
      </c>
      <c r="H270" s="15">
        <v>15000000</v>
      </c>
      <c r="I270" s="11">
        <v>2</v>
      </c>
      <c r="J270" s="16">
        <v>1.3888888888888889E-3</v>
      </c>
      <c r="K270" s="11" t="s">
        <v>18</v>
      </c>
      <c r="L270" s="11" t="s">
        <v>60</v>
      </c>
      <c r="M270" s="11" t="s">
        <v>55</v>
      </c>
      <c r="N270" s="11" t="s">
        <v>27</v>
      </c>
      <c r="O270" s="11" t="s">
        <v>33</v>
      </c>
    </row>
    <row r="271" spans="2:15" ht="21" customHeight="1" x14ac:dyDescent="0.3">
      <c r="B271" s="4" t="s">
        <v>74</v>
      </c>
      <c r="C271" s="5">
        <v>23</v>
      </c>
      <c r="D271" s="6" t="s">
        <v>29</v>
      </c>
      <c r="E271" s="4" t="s">
        <v>77</v>
      </c>
      <c r="F271" s="4" t="s">
        <v>24</v>
      </c>
      <c r="G271" s="7">
        <v>0</v>
      </c>
      <c r="H271" s="1">
        <v>0</v>
      </c>
      <c r="I271" s="4">
        <v>1</v>
      </c>
      <c r="J271" s="8">
        <v>1.3888888888888889E-3</v>
      </c>
      <c r="K271" s="4"/>
      <c r="L271" s="4"/>
      <c r="M271" s="4" t="s">
        <v>52</v>
      </c>
      <c r="N271" s="4" t="s">
        <v>36</v>
      </c>
      <c r="O271" s="4" t="s">
        <v>58</v>
      </c>
    </row>
    <row r="272" spans="2:15" ht="21" customHeight="1" x14ac:dyDescent="0.3">
      <c r="B272" s="11" t="s">
        <v>74</v>
      </c>
      <c r="C272" s="12">
        <v>9</v>
      </c>
      <c r="D272" s="13" t="s">
        <v>41</v>
      </c>
      <c r="E272" s="11" t="s">
        <v>34</v>
      </c>
      <c r="F272" s="11" t="s">
        <v>72</v>
      </c>
      <c r="G272" s="14">
        <v>0</v>
      </c>
      <c r="H272" s="15">
        <v>0</v>
      </c>
      <c r="I272" s="11">
        <v>1</v>
      </c>
      <c r="J272" s="16">
        <v>1.3888888888888889E-3</v>
      </c>
      <c r="K272" s="11"/>
      <c r="L272" s="11"/>
      <c r="M272" s="11" t="s">
        <v>35</v>
      </c>
      <c r="N272" s="11" t="s">
        <v>36</v>
      </c>
      <c r="O272" s="11" t="s">
        <v>58</v>
      </c>
    </row>
    <row r="273" spans="2:15" ht="21" customHeight="1" x14ac:dyDescent="0.3">
      <c r="B273" s="4" t="s">
        <v>74</v>
      </c>
      <c r="C273" s="5">
        <v>23</v>
      </c>
      <c r="D273" s="6" t="s">
        <v>41</v>
      </c>
      <c r="E273" s="4" t="s">
        <v>34</v>
      </c>
      <c r="F273" s="4" t="s">
        <v>49</v>
      </c>
      <c r="G273" s="7">
        <v>0</v>
      </c>
      <c r="H273" s="1">
        <v>0</v>
      </c>
      <c r="I273" s="4">
        <v>1</v>
      </c>
      <c r="J273" s="8">
        <v>1.3888888888888889E-3</v>
      </c>
      <c r="K273" s="4"/>
      <c r="L273" s="4"/>
      <c r="M273" s="4" t="s">
        <v>20</v>
      </c>
      <c r="N273" s="4" t="s">
        <v>39</v>
      </c>
      <c r="O273" s="4" t="s">
        <v>40</v>
      </c>
    </row>
    <row r="274" spans="2:15" ht="21" customHeight="1" x14ac:dyDescent="0.3">
      <c r="B274" s="11" t="s">
        <v>74</v>
      </c>
      <c r="C274" s="12">
        <v>4</v>
      </c>
      <c r="D274" s="13" t="s">
        <v>41</v>
      </c>
      <c r="E274" s="11" t="s">
        <v>16</v>
      </c>
      <c r="F274" s="11" t="s">
        <v>46</v>
      </c>
      <c r="G274" s="14">
        <v>0</v>
      </c>
      <c r="H274" s="15">
        <v>0</v>
      </c>
      <c r="I274" s="11">
        <v>2</v>
      </c>
      <c r="J274" s="16">
        <v>1.3888888888888889E-3</v>
      </c>
      <c r="K274" s="11"/>
      <c r="L274" s="11"/>
      <c r="M274" s="11" t="s">
        <v>47</v>
      </c>
      <c r="N274" s="11" t="s">
        <v>27</v>
      </c>
      <c r="O274" s="11" t="s">
        <v>56</v>
      </c>
    </row>
    <row r="275" spans="2:15" ht="21" customHeight="1" x14ac:dyDescent="0.3">
      <c r="B275" s="4" t="s">
        <v>74</v>
      </c>
      <c r="C275" s="5">
        <v>8</v>
      </c>
      <c r="D275" s="6" t="s">
        <v>73</v>
      </c>
      <c r="E275" s="4" t="s">
        <v>16</v>
      </c>
      <c r="F275" s="4" t="s">
        <v>17</v>
      </c>
      <c r="G275" s="7">
        <v>0</v>
      </c>
      <c r="H275" s="1">
        <v>0</v>
      </c>
      <c r="I275" s="4">
        <v>6</v>
      </c>
      <c r="J275" s="8">
        <v>1.3888888888888889E-3</v>
      </c>
      <c r="K275" s="4"/>
      <c r="L275" s="4"/>
      <c r="M275" s="4" t="s">
        <v>47</v>
      </c>
      <c r="N275" s="4" t="s">
        <v>27</v>
      </c>
      <c r="O275" s="4" t="s">
        <v>79</v>
      </c>
    </row>
    <row r="276" spans="2:15" ht="21" customHeight="1" x14ac:dyDescent="0.3">
      <c r="B276" s="11" t="s">
        <v>74</v>
      </c>
      <c r="C276" s="12">
        <v>10</v>
      </c>
      <c r="D276" s="13" t="s">
        <v>73</v>
      </c>
      <c r="E276" s="11" t="s">
        <v>34</v>
      </c>
      <c r="F276" s="11" t="s">
        <v>46</v>
      </c>
      <c r="G276" s="14">
        <v>0</v>
      </c>
      <c r="H276" s="15">
        <v>0</v>
      </c>
      <c r="I276" s="11">
        <v>1</v>
      </c>
      <c r="J276" s="16">
        <v>1.3888888888888889E-3</v>
      </c>
      <c r="K276" s="11"/>
      <c r="L276" s="11"/>
      <c r="M276" s="11" t="s">
        <v>55</v>
      </c>
      <c r="N276" s="11" t="s">
        <v>39</v>
      </c>
      <c r="O276" s="11" t="s">
        <v>40</v>
      </c>
    </row>
    <row r="277" spans="2:15" ht="21" customHeight="1" x14ac:dyDescent="0.3">
      <c r="B277" s="4" t="s">
        <v>14</v>
      </c>
      <c r="C277" s="5">
        <v>11</v>
      </c>
      <c r="D277" s="6" t="s">
        <v>61</v>
      </c>
      <c r="E277" s="4" t="s">
        <v>16</v>
      </c>
      <c r="F277" s="4" t="s">
        <v>24</v>
      </c>
      <c r="G277" s="7">
        <v>4</v>
      </c>
      <c r="H277" s="1">
        <v>20000000</v>
      </c>
      <c r="I277" s="4">
        <v>1</v>
      </c>
      <c r="J277" s="8">
        <v>1.3888888888888889E-3</v>
      </c>
      <c r="K277" s="4" t="s">
        <v>18</v>
      </c>
      <c r="L277" s="4" t="s">
        <v>51</v>
      </c>
      <c r="M277" s="4" t="s">
        <v>26</v>
      </c>
      <c r="N277" s="4" t="s">
        <v>39</v>
      </c>
      <c r="O277" s="4" t="s">
        <v>71</v>
      </c>
    </row>
    <row r="278" spans="2:15" ht="21" customHeight="1" x14ac:dyDescent="0.3">
      <c r="B278" s="11" t="s">
        <v>14</v>
      </c>
      <c r="C278" s="12">
        <v>1</v>
      </c>
      <c r="D278" s="13" t="s">
        <v>15</v>
      </c>
      <c r="E278" s="11" t="s">
        <v>53</v>
      </c>
      <c r="F278" s="11" t="s">
        <v>46</v>
      </c>
      <c r="G278" s="14">
        <v>2</v>
      </c>
      <c r="H278" s="15">
        <v>12000000</v>
      </c>
      <c r="I278" s="11">
        <v>1</v>
      </c>
      <c r="J278" s="16">
        <v>1.3888888888888889E-3</v>
      </c>
      <c r="K278" s="11" t="s">
        <v>18</v>
      </c>
      <c r="L278" s="11" t="s">
        <v>31</v>
      </c>
      <c r="M278" s="11" t="s">
        <v>35</v>
      </c>
      <c r="N278" s="11" t="s">
        <v>27</v>
      </c>
      <c r="O278" s="11" t="s">
        <v>75</v>
      </c>
    </row>
    <row r="279" spans="2:15" ht="21" customHeight="1" x14ac:dyDescent="0.3">
      <c r="B279" s="4" t="s">
        <v>14</v>
      </c>
      <c r="C279" s="5">
        <v>13</v>
      </c>
      <c r="D279" s="6" t="s">
        <v>64</v>
      </c>
      <c r="E279" s="4" t="s">
        <v>16</v>
      </c>
      <c r="F279" s="4" t="s">
        <v>24</v>
      </c>
      <c r="G279" s="7">
        <v>5</v>
      </c>
      <c r="H279" s="1">
        <v>21000000</v>
      </c>
      <c r="I279" s="4">
        <v>4</v>
      </c>
      <c r="J279" s="8">
        <v>1.3888888888888889E-3</v>
      </c>
      <c r="K279" s="4" t="s">
        <v>18</v>
      </c>
      <c r="L279" s="4" t="s">
        <v>54</v>
      </c>
      <c r="M279" s="4" t="s">
        <v>44</v>
      </c>
      <c r="N279" s="4" t="s">
        <v>39</v>
      </c>
      <c r="O279" s="4" t="s">
        <v>40</v>
      </c>
    </row>
    <row r="280" spans="2:15" ht="21" customHeight="1" x14ac:dyDescent="0.3">
      <c r="B280" s="11" t="s">
        <v>14</v>
      </c>
      <c r="C280" s="12">
        <v>28</v>
      </c>
      <c r="D280" s="13" t="s">
        <v>23</v>
      </c>
      <c r="E280" s="11" t="s">
        <v>42</v>
      </c>
      <c r="F280" s="11" t="s">
        <v>46</v>
      </c>
      <c r="G280" s="14">
        <v>4</v>
      </c>
      <c r="H280" s="15">
        <v>11000000</v>
      </c>
      <c r="I280" s="11">
        <v>2</v>
      </c>
      <c r="J280" s="16">
        <v>1.3888888888888889E-3</v>
      </c>
      <c r="K280" s="11" t="s">
        <v>65</v>
      </c>
      <c r="L280" s="11" t="s">
        <v>19</v>
      </c>
      <c r="M280" s="11" t="s">
        <v>44</v>
      </c>
      <c r="N280" s="11" t="s">
        <v>36</v>
      </c>
      <c r="O280" s="11" t="s">
        <v>58</v>
      </c>
    </row>
    <row r="281" spans="2:15" ht="21" customHeight="1" x14ac:dyDescent="0.3">
      <c r="B281" s="4" t="s">
        <v>14</v>
      </c>
      <c r="C281" s="5">
        <v>27</v>
      </c>
      <c r="D281" s="6" t="s">
        <v>41</v>
      </c>
      <c r="E281" s="4" t="s">
        <v>16</v>
      </c>
      <c r="F281" s="4" t="s">
        <v>46</v>
      </c>
      <c r="G281" s="7">
        <v>1</v>
      </c>
      <c r="H281" s="1">
        <v>19000000</v>
      </c>
      <c r="I281" s="4">
        <v>2</v>
      </c>
      <c r="J281" s="8">
        <v>1.3888888888888889E-3</v>
      </c>
      <c r="K281" s="4" t="s">
        <v>50</v>
      </c>
      <c r="L281" s="4" t="s">
        <v>60</v>
      </c>
      <c r="M281" s="4" t="s">
        <v>47</v>
      </c>
      <c r="N281" s="4" t="s">
        <v>21</v>
      </c>
      <c r="O281" s="4" t="s">
        <v>57</v>
      </c>
    </row>
    <row r="282" spans="2:15" ht="21" customHeight="1" x14ac:dyDescent="0.3">
      <c r="B282" s="11" t="s">
        <v>14</v>
      </c>
      <c r="C282" s="12">
        <v>9</v>
      </c>
      <c r="D282" s="13" t="s">
        <v>41</v>
      </c>
      <c r="E282" s="11" t="s">
        <v>16</v>
      </c>
      <c r="F282" s="11" t="s">
        <v>17</v>
      </c>
      <c r="G282" s="14">
        <v>3</v>
      </c>
      <c r="H282" s="15">
        <v>15000000</v>
      </c>
      <c r="I282" s="11">
        <v>1</v>
      </c>
      <c r="J282" s="16">
        <v>1.3888888888888889E-3</v>
      </c>
      <c r="K282" s="11" t="s">
        <v>18</v>
      </c>
      <c r="L282" s="11" t="s">
        <v>51</v>
      </c>
      <c r="M282" s="11" t="s">
        <v>55</v>
      </c>
      <c r="N282" s="11" t="s">
        <v>27</v>
      </c>
      <c r="O282" s="11" t="s">
        <v>28</v>
      </c>
    </row>
    <row r="283" spans="2:15" ht="21" customHeight="1" x14ac:dyDescent="0.3">
      <c r="B283" s="4" t="s">
        <v>14</v>
      </c>
      <c r="C283" s="5">
        <v>19</v>
      </c>
      <c r="D283" s="6" t="s">
        <v>41</v>
      </c>
      <c r="E283" s="4" t="s">
        <v>16</v>
      </c>
      <c r="F283" s="4" t="s">
        <v>46</v>
      </c>
      <c r="G283" s="7">
        <v>5</v>
      </c>
      <c r="H283" s="1">
        <v>25000000</v>
      </c>
      <c r="I283" s="4">
        <v>3</v>
      </c>
      <c r="J283" s="8">
        <v>1.3888888888888889E-3</v>
      </c>
      <c r="K283" s="4" t="s">
        <v>18</v>
      </c>
      <c r="L283" s="4" t="s">
        <v>19</v>
      </c>
      <c r="M283" s="4" t="s">
        <v>52</v>
      </c>
      <c r="N283" s="4" t="s">
        <v>27</v>
      </c>
      <c r="O283" s="4" t="s">
        <v>28</v>
      </c>
    </row>
    <row r="284" spans="2:15" ht="21" customHeight="1" x14ac:dyDescent="0.3">
      <c r="B284" s="11" t="s">
        <v>14</v>
      </c>
      <c r="C284" s="12">
        <v>3</v>
      </c>
      <c r="D284" s="13" t="s">
        <v>48</v>
      </c>
      <c r="E284" s="11" t="s">
        <v>16</v>
      </c>
      <c r="F284" s="11" t="s">
        <v>46</v>
      </c>
      <c r="G284" s="14">
        <v>2</v>
      </c>
      <c r="H284" s="15">
        <v>12000000</v>
      </c>
      <c r="I284" s="11">
        <v>4</v>
      </c>
      <c r="J284" s="16">
        <v>1.3888888888888889E-3</v>
      </c>
      <c r="K284" s="11" t="s">
        <v>18</v>
      </c>
      <c r="L284" s="11" t="s">
        <v>19</v>
      </c>
      <c r="M284" s="11" t="s">
        <v>20</v>
      </c>
      <c r="N284" s="11" t="s">
        <v>36</v>
      </c>
      <c r="O284" s="11" t="s">
        <v>69</v>
      </c>
    </row>
    <row r="285" spans="2:15" ht="21" customHeight="1" x14ac:dyDescent="0.3">
      <c r="B285" s="4" t="s">
        <v>14</v>
      </c>
      <c r="C285" s="5">
        <v>12</v>
      </c>
      <c r="D285" s="6" t="s">
        <v>48</v>
      </c>
      <c r="E285" s="4" t="s">
        <v>53</v>
      </c>
      <c r="F285" s="4" t="s">
        <v>17</v>
      </c>
      <c r="G285" s="7">
        <v>3</v>
      </c>
      <c r="H285" s="1">
        <v>15000000</v>
      </c>
      <c r="I285" s="4">
        <v>2</v>
      </c>
      <c r="J285" s="8">
        <v>1.3888888888888889E-3</v>
      </c>
      <c r="K285" s="4" t="s">
        <v>18</v>
      </c>
      <c r="L285" s="4" t="s">
        <v>68</v>
      </c>
      <c r="M285" s="4" t="s">
        <v>47</v>
      </c>
      <c r="N285" s="4" t="s">
        <v>36</v>
      </c>
      <c r="O285" s="4" t="s">
        <v>37</v>
      </c>
    </row>
    <row r="286" spans="2:15" ht="21" customHeight="1" x14ac:dyDescent="0.3">
      <c r="B286" s="11" t="s">
        <v>14</v>
      </c>
      <c r="C286" s="12">
        <v>15</v>
      </c>
      <c r="D286" s="13" t="s">
        <v>73</v>
      </c>
      <c r="E286" s="11" t="s">
        <v>16</v>
      </c>
      <c r="F286" s="11" t="s">
        <v>24</v>
      </c>
      <c r="G286" s="14">
        <v>2</v>
      </c>
      <c r="H286" s="15">
        <v>38000000</v>
      </c>
      <c r="I286" s="11">
        <v>1</v>
      </c>
      <c r="J286" s="16">
        <v>1.3888888888888889E-3</v>
      </c>
      <c r="K286" s="11" t="s">
        <v>50</v>
      </c>
      <c r="L286" s="11" t="s">
        <v>31</v>
      </c>
      <c r="M286" s="11" t="s">
        <v>35</v>
      </c>
      <c r="N286" s="11" t="s">
        <v>27</v>
      </c>
      <c r="O286" s="11" t="s">
        <v>75</v>
      </c>
    </row>
    <row r="287" spans="2:15" ht="21" customHeight="1" x14ac:dyDescent="0.3">
      <c r="B287" s="4" t="s">
        <v>14</v>
      </c>
      <c r="C287" s="5">
        <v>11</v>
      </c>
      <c r="D287" s="6" t="s">
        <v>61</v>
      </c>
      <c r="E287" s="4" t="s">
        <v>16</v>
      </c>
      <c r="F287" s="4" t="s">
        <v>24</v>
      </c>
      <c r="G287" s="7">
        <v>4</v>
      </c>
      <c r="H287" s="1">
        <v>20000000</v>
      </c>
      <c r="I287" s="4">
        <v>1</v>
      </c>
      <c r="J287" s="8">
        <v>1.3888888888888889E-3</v>
      </c>
      <c r="K287" s="4" t="s">
        <v>18</v>
      </c>
      <c r="L287" s="4" t="s">
        <v>51</v>
      </c>
      <c r="M287" s="4" t="s">
        <v>26</v>
      </c>
      <c r="N287" s="4" t="s">
        <v>39</v>
      </c>
      <c r="O287" s="4" t="s">
        <v>71</v>
      </c>
    </row>
    <row r="288" spans="2:15" ht="21" customHeight="1" x14ac:dyDescent="0.3">
      <c r="B288" s="11" t="s">
        <v>14</v>
      </c>
      <c r="C288" s="12">
        <v>1</v>
      </c>
      <c r="D288" s="13" t="s">
        <v>15</v>
      </c>
      <c r="E288" s="11" t="s">
        <v>53</v>
      </c>
      <c r="F288" s="11" t="s">
        <v>46</v>
      </c>
      <c r="G288" s="14">
        <v>2</v>
      </c>
      <c r="H288" s="15">
        <v>12000000</v>
      </c>
      <c r="I288" s="11">
        <v>1</v>
      </c>
      <c r="J288" s="16">
        <v>1.3888888888888889E-3</v>
      </c>
      <c r="K288" s="11" t="s">
        <v>18</v>
      </c>
      <c r="L288" s="11" t="s">
        <v>31</v>
      </c>
      <c r="M288" s="11" t="s">
        <v>35</v>
      </c>
      <c r="N288" s="11" t="s">
        <v>27</v>
      </c>
      <c r="O288" s="11" t="s">
        <v>75</v>
      </c>
    </row>
    <row r="289" spans="2:15" ht="21" customHeight="1" x14ac:dyDescent="0.3">
      <c r="B289" s="4" t="s">
        <v>14</v>
      </c>
      <c r="C289" s="5">
        <v>13</v>
      </c>
      <c r="D289" s="6" t="s">
        <v>64</v>
      </c>
      <c r="E289" s="4" t="s">
        <v>16</v>
      </c>
      <c r="F289" s="4" t="s">
        <v>24</v>
      </c>
      <c r="G289" s="7">
        <v>5</v>
      </c>
      <c r="H289" s="1">
        <v>21000000</v>
      </c>
      <c r="I289" s="4">
        <v>4</v>
      </c>
      <c r="J289" s="8">
        <v>1.3888888888888889E-3</v>
      </c>
      <c r="K289" s="4" t="s">
        <v>18</v>
      </c>
      <c r="L289" s="4" t="s">
        <v>54</v>
      </c>
      <c r="M289" s="4" t="s">
        <v>44</v>
      </c>
      <c r="N289" s="4" t="s">
        <v>39</v>
      </c>
      <c r="O289" s="4" t="s">
        <v>40</v>
      </c>
    </row>
    <row r="290" spans="2:15" ht="21" customHeight="1" x14ac:dyDescent="0.3">
      <c r="B290" s="11" t="s">
        <v>14</v>
      </c>
      <c r="C290" s="12">
        <v>28</v>
      </c>
      <c r="D290" s="13" t="s">
        <v>23</v>
      </c>
      <c r="E290" s="11" t="s">
        <v>42</v>
      </c>
      <c r="F290" s="11" t="s">
        <v>46</v>
      </c>
      <c r="G290" s="14">
        <v>4</v>
      </c>
      <c r="H290" s="15">
        <v>11000000</v>
      </c>
      <c r="I290" s="11">
        <v>2</v>
      </c>
      <c r="J290" s="16">
        <v>1.3888888888888889E-3</v>
      </c>
      <c r="K290" s="11" t="s">
        <v>65</v>
      </c>
      <c r="L290" s="11" t="s">
        <v>19</v>
      </c>
      <c r="M290" s="11" t="s">
        <v>44</v>
      </c>
      <c r="N290" s="11" t="s">
        <v>36</v>
      </c>
      <c r="O290" s="11" t="s">
        <v>58</v>
      </c>
    </row>
    <row r="291" spans="2:15" ht="21" customHeight="1" x14ac:dyDescent="0.3">
      <c r="B291" s="4" t="s">
        <v>74</v>
      </c>
      <c r="C291" s="5">
        <v>12</v>
      </c>
      <c r="D291" s="6" t="s">
        <v>59</v>
      </c>
      <c r="E291" s="4" t="s">
        <v>16</v>
      </c>
      <c r="F291" s="4" t="s">
        <v>24</v>
      </c>
      <c r="G291" s="7">
        <v>0</v>
      </c>
      <c r="H291" s="1">
        <v>0</v>
      </c>
      <c r="I291" s="4">
        <v>1</v>
      </c>
      <c r="J291" s="8">
        <v>1.3888888888888889E-3</v>
      </c>
      <c r="K291" s="4"/>
      <c r="L291" s="4"/>
      <c r="M291" s="4" t="s">
        <v>35</v>
      </c>
      <c r="N291" s="4" t="s">
        <v>27</v>
      </c>
      <c r="O291" s="4" t="s">
        <v>79</v>
      </c>
    </row>
    <row r="292" spans="2:15" ht="21" customHeight="1" x14ac:dyDescent="0.3">
      <c r="B292" s="11" t="s">
        <v>74</v>
      </c>
      <c r="C292" s="12">
        <v>30</v>
      </c>
      <c r="D292" s="13" t="s">
        <v>73</v>
      </c>
      <c r="E292" s="11" t="s">
        <v>30</v>
      </c>
      <c r="F292" s="11" t="s">
        <v>49</v>
      </c>
      <c r="G292" s="14">
        <v>0</v>
      </c>
      <c r="H292" s="15">
        <v>0</v>
      </c>
      <c r="I292" s="11">
        <v>5</v>
      </c>
      <c r="J292" s="16">
        <v>1.3888888888888889E-3</v>
      </c>
      <c r="K292" s="11"/>
      <c r="L292" s="11"/>
      <c r="M292" s="11" t="s">
        <v>32</v>
      </c>
      <c r="N292" s="11" t="s">
        <v>21</v>
      </c>
      <c r="O292" s="11" t="s">
        <v>70</v>
      </c>
    </row>
    <row r="293" spans="2:15" ht="21" customHeight="1" x14ac:dyDescent="0.3">
      <c r="B293" s="4" t="s">
        <v>74</v>
      </c>
      <c r="C293" s="5">
        <v>30</v>
      </c>
      <c r="D293" s="6" t="s">
        <v>73</v>
      </c>
      <c r="E293" s="4" t="s">
        <v>30</v>
      </c>
      <c r="F293" s="4" t="s">
        <v>46</v>
      </c>
      <c r="G293" s="7">
        <v>0</v>
      </c>
      <c r="H293" s="1">
        <v>0</v>
      </c>
      <c r="I293" s="4">
        <v>3</v>
      </c>
      <c r="J293" s="8">
        <v>1.3888888888888889E-3</v>
      </c>
      <c r="K293" s="4"/>
      <c r="L293" s="4"/>
      <c r="M293" s="4" t="s">
        <v>55</v>
      </c>
      <c r="N293" s="4" t="s">
        <v>21</v>
      </c>
      <c r="O293" s="4" t="s">
        <v>57</v>
      </c>
    </row>
    <row r="294" spans="2:15" ht="21" customHeight="1" x14ac:dyDescent="0.3">
      <c r="B294" s="11" t="s">
        <v>74</v>
      </c>
      <c r="C294" s="12">
        <v>12</v>
      </c>
      <c r="D294" s="13" t="s">
        <v>59</v>
      </c>
      <c r="E294" s="11" t="s">
        <v>16</v>
      </c>
      <c r="F294" s="11" t="s">
        <v>24</v>
      </c>
      <c r="G294" s="14">
        <v>0</v>
      </c>
      <c r="H294" s="15">
        <v>0</v>
      </c>
      <c r="I294" s="11">
        <v>1</v>
      </c>
      <c r="J294" s="16">
        <v>1.3888888888888889E-3</v>
      </c>
      <c r="K294" s="11"/>
      <c r="L294" s="11"/>
      <c r="M294" s="11" t="s">
        <v>35</v>
      </c>
      <c r="N294" s="11" t="s">
        <v>27</v>
      </c>
      <c r="O294" s="11" t="s">
        <v>79</v>
      </c>
    </row>
    <row r="295" spans="2:15" ht="21" customHeight="1" x14ac:dyDescent="0.3">
      <c r="B295" s="4" t="s">
        <v>14</v>
      </c>
      <c r="C295" s="5">
        <v>11</v>
      </c>
      <c r="D295" s="6" t="s">
        <v>61</v>
      </c>
      <c r="E295" s="4" t="s">
        <v>42</v>
      </c>
      <c r="F295" s="4" t="s">
        <v>46</v>
      </c>
      <c r="G295" s="7">
        <v>2</v>
      </c>
      <c r="H295" s="1">
        <v>38000000</v>
      </c>
      <c r="I295" s="4">
        <v>5</v>
      </c>
      <c r="J295" s="8">
        <v>1.3888888888888889E-3</v>
      </c>
      <c r="K295" s="4" t="s">
        <v>50</v>
      </c>
      <c r="L295" s="4" t="s">
        <v>54</v>
      </c>
      <c r="M295" s="4" t="s">
        <v>35</v>
      </c>
      <c r="N295" s="4" t="s">
        <v>27</v>
      </c>
      <c r="O295" s="4" t="s">
        <v>28</v>
      </c>
    </row>
    <row r="296" spans="2:15" ht="21" customHeight="1" x14ac:dyDescent="0.3">
      <c r="B296" s="11" t="s">
        <v>14</v>
      </c>
      <c r="C296" s="12">
        <v>15</v>
      </c>
      <c r="D296" s="13" t="s">
        <v>23</v>
      </c>
      <c r="E296" s="11" t="s">
        <v>16</v>
      </c>
      <c r="F296" s="11" t="s">
        <v>24</v>
      </c>
      <c r="G296" s="14">
        <v>3</v>
      </c>
      <c r="H296" s="15">
        <v>15000000</v>
      </c>
      <c r="I296" s="11">
        <v>2</v>
      </c>
      <c r="J296" s="16">
        <v>1.3888888888888889E-3</v>
      </c>
      <c r="K296" s="11" t="s">
        <v>18</v>
      </c>
      <c r="L296" s="11" t="s">
        <v>60</v>
      </c>
      <c r="M296" s="11" t="s">
        <v>47</v>
      </c>
      <c r="N296" s="11" t="s">
        <v>21</v>
      </c>
      <c r="O296" s="11" t="s">
        <v>57</v>
      </c>
    </row>
    <row r="297" spans="2:15" ht="21" customHeight="1" x14ac:dyDescent="0.3">
      <c r="B297" s="4" t="s">
        <v>14</v>
      </c>
      <c r="C297" s="5">
        <v>30</v>
      </c>
      <c r="D297" s="6" t="s">
        <v>29</v>
      </c>
      <c r="E297" s="4" t="s">
        <v>42</v>
      </c>
      <c r="F297" s="4" t="s">
        <v>24</v>
      </c>
      <c r="G297" s="7">
        <v>1</v>
      </c>
      <c r="H297" s="1">
        <v>19000000</v>
      </c>
      <c r="I297" s="4">
        <v>4</v>
      </c>
      <c r="J297" s="8">
        <v>1.3888888888888889E-3</v>
      </c>
      <c r="K297" s="4" t="s">
        <v>50</v>
      </c>
      <c r="L297" s="4" t="s">
        <v>31</v>
      </c>
      <c r="M297" s="4" t="s">
        <v>55</v>
      </c>
      <c r="N297" s="4" t="s">
        <v>21</v>
      </c>
      <c r="O297" s="4" t="s">
        <v>22</v>
      </c>
    </row>
    <row r="298" spans="2:15" ht="21" customHeight="1" x14ac:dyDescent="0.3">
      <c r="B298" s="11" t="s">
        <v>14</v>
      </c>
      <c r="C298" s="12">
        <v>23</v>
      </c>
      <c r="D298" s="13" t="s">
        <v>29</v>
      </c>
      <c r="E298" s="11" t="s">
        <v>16</v>
      </c>
      <c r="F298" s="11" t="s">
        <v>24</v>
      </c>
      <c r="G298" s="14">
        <v>2</v>
      </c>
      <c r="H298" s="15">
        <v>12000000</v>
      </c>
      <c r="I298" s="11">
        <v>2</v>
      </c>
      <c r="J298" s="16">
        <v>1.3888888888888889E-3</v>
      </c>
      <c r="K298" s="11" t="s">
        <v>18</v>
      </c>
      <c r="L298" s="11" t="s">
        <v>43</v>
      </c>
      <c r="M298" s="11" t="s">
        <v>26</v>
      </c>
      <c r="N298" s="11" t="s">
        <v>36</v>
      </c>
      <c r="O298" s="11" t="s">
        <v>58</v>
      </c>
    </row>
    <row r="299" spans="2:15" ht="21" customHeight="1" x14ac:dyDescent="0.3">
      <c r="B299" s="4" t="s">
        <v>14</v>
      </c>
      <c r="C299" s="5">
        <v>30</v>
      </c>
      <c r="D299" s="6" t="s">
        <v>29</v>
      </c>
      <c r="E299" s="4" t="s">
        <v>42</v>
      </c>
      <c r="F299" s="4" t="s">
        <v>46</v>
      </c>
      <c r="G299" s="7">
        <v>4</v>
      </c>
      <c r="H299" s="1">
        <v>20000000</v>
      </c>
      <c r="I299" s="4">
        <v>4</v>
      </c>
      <c r="J299" s="8">
        <v>1.3888888888888889E-3</v>
      </c>
      <c r="K299" s="4" t="s">
        <v>18</v>
      </c>
      <c r="L299" s="4" t="s">
        <v>19</v>
      </c>
      <c r="M299" s="4" t="s">
        <v>32</v>
      </c>
      <c r="N299" s="4" t="s">
        <v>21</v>
      </c>
      <c r="O299" s="4" t="s">
        <v>45</v>
      </c>
    </row>
    <row r="300" spans="2:15" ht="21" customHeight="1" x14ac:dyDescent="0.3">
      <c r="B300" s="11" t="s">
        <v>14</v>
      </c>
      <c r="C300" s="12">
        <v>11</v>
      </c>
      <c r="D300" s="13" t="s">
        <v>29</v>
      </c>
      <c r="E300" s="11" t="s">
        <v>42</v>
      </c>
      <c r="F300" s="11" t="s">
        <v>24</v>
      </c>
      <c r="G300" s="14">
        <v>3</v>
      </c>
      <c r="H300" s="15">
        <v>15000000</v>
      </c>
      <c r="I300" s="11">
        <v>3</v>
      </c>
      <c r="J300" s="16">
        <v>1.3888888888888889E-3</v>
      </c>
      <c r="K300" s="11" t="s">
        <v>18</v>
      </c>
      <c r="L300" s="11" t="s">
        <v>31</v>
      </c>
      <c r="M300" s="11" t="s">
        <v>44</v>
      </c>
      <c r="N300" s="11" t="s">
        <v>27</v>
      </c>
      <c r="O300" s="11" t="s">
        <v>56</v>
      </c>
    </row>
    <row r="301" spans="2:15" ht="21" customHeight="1" x14ac:dyDescent="0.3">
      <c r="B301" s="4" t="s">
        <v>14</v>
      </c>
      <c r="C301" s="5">
        <v>4</v>
      </c>
      <c r="D301" s="6" t="s">
        <v>29</v>
      </c>
      <c r="E301" s="4" t="s">
        <v>16</v>
      </c>
      <c r="F301" s="4" t="s">
        <v>17</v>
      </c>
      <c r="G301" s="7">
        <v>3</v>
      </c>
      <c r="H301" s="1">
        <v>11000000</v>
      </c>
      <c r="I301" s="4">
        <v>2</v>
      </c>
      <c r="J301" s="8">
        <v>1.3888888888888889E-3</v>
      </c>
      <c r="K301" s="4" t="s">
        <v>18</v>
      </c>
      <c r="L301" s="4" t="s">
        <v>31</v>
      </c>
      <c r="M301" s="4" t="s">
        <v>52</v>
      </c>
      <c r="N301" s="4" t="s">
        <v>39</v>
      </c>
      <c r="O301" s="4" t="s">
        <v>71</v>
      </c>
    </row>
    <row r="302" spans="2:15" ht="21" customHeight="1" x14ac:dyDescent="0.3">
      <c r="B302" s="11" t="s">
        <v>14</v>
      </c>
      <c r="C302" s="12">
        <v>12</v>
      </c>
      <c r="D302" s="13" t="s">
        <v>29</v>
      </c>
      <c r="E302" s="11" t="s">
        <v>16</v>
      </c>
      <c r="F302" s="11" t="s">
        <v>24</v>
      </c>
      <c r="G302" s="14">
        <v>2</v>
      </c>
      <c r="H302" s="15">
        <v>12000000</v>
      </c>
      <c r="I302" s="11">
        <v>1</v>
      </c>
      <c r="J302" s="16">
        <v>1.3888888888888889E-3</v>
      </c>
      <c r="K302" s="11" t="s">
        <v>18</v>
      </c>
      <c r="L302" s="11" t="s">
        <v>60</v>
      </c>
      <c r="M302" s="11" t="s">
        <v>52</v>
      </c>
      <c r="N302" s="11" t="s">
        <v>27</v>
      </c>
      <c r="O302" s="11" t="s">
        <v>56</v>
      </c>
    </row>
    <row r="303" spans="2:15" ht="21" customHeight="1" x14ac:dyDescent="0.3">
      <c r="B303" s="4" t="s">
        <v>14</v>
      </c>
      <c r="C303" s="5">
        <v>9</v>
      </c>
      <c r="D303" s="6" t="s">
        <v>29</v>
      </c>
      <c r="E303" s="4" t="s">
        <v>42</v>
      </c>
      <c r="F303" s="4" t="s">
        <v>72</v>
      </c>
      <c r="G303" s="7">
        <v>5</v>
      </c>
      <c r="H303" s="1">
        <v>21000000</v>
      </c>
      <c r="I303" s="4">
        <v>1</v>
      </c>
      <c r="J303" s="8">
        <v>1.3888888888888889E-3</v>
      </c>
      <c r="K303" s="4" t="s">
        <v>18</v>
      </c>
      <c r="L303" s="4" t="s">
        <v>38</v>
      </c>
      <c r="M303" s="4" t="s">
        <v>55</v>
      </c>
      <c r="N303" s="4" t="s">
        <v>27</v>
      </c>
      <c r="O303" s="4" t="s">
        <v>56</v>
      </c>
    </row>
    <row r="304" spans="2:15" ht="21" customHeight="1" x14ac:dyDescent="0.3">
      <c r="B304" s="11" t="s">
        <v>14</v>
      </c>
      <c r="C304" s="12">
        <v>26</v>
      </c>
      <c r="D304" s="13" t="s">
        <v>41</v>
      </c>
      <c r="E304" s="11" t="s">
        <v>34</v>
      </c>
      <c r="F304" s="11" t="s">
        <v>46</v>
      </c>
      <c r="G304" s="14">
        <v>2</v>
      </c>
      <c r="H304" s="15">
        <v>38000000</v>
      </c>
      <c r="I304" s="11">
        <v>3</v>
      </c>
      <c r="J304" s="16">
        <v>1.3888888888888889E-3</v>
      </c>
      <c r="K304" s="11" t="s">
        <v>50</v>
      </c>
      <c r="L304" s="11" t="s">
        <v>43</v>
      </c>
      <c r="M304" s="11" t="s">
        <v>52</v>
      </c>
      <c r="N304" s="11" t="s">
        <v>21</v>
      </c>
      <c r="O304" s="11" t="s">
        <v>57</v>
      </c>
    </row>
    <row r="305" spans="2:15" ht="21" customHeight="1" x14ac:dyDescent="0.3">
      <c r="B305" s="4" t="s">
        <v>14</v>
      </c>
      <c r="C305" s="5">
        <v>18</v>
      </c>
      <c r="D305" s="6" t="s">
        <v>41</v>
      </c>
      <c r="E305" s="4" t="s">
        <v>53</v>
      </c>
      <c r="F305" s="4" t="s">
        <v>46</v>
      </c>
      <c r="G305" s="7">
        <v>4</v>
      </c>
      <c r="H305" s="1">
        <v>11000000</v>
      </c>
      <c r="I305" s="4">
        <v>2</v>
      </c>
      <c r="J305" s="8">
        <v>1.3888888888888889E-3</v>
      </c>
      <c r="K305" s="4" t="s">
        <v>65</v>
      </c>
      <c r="L305" s="4" t="s">
        <v>68</v>
      </c>
      <c r="M305" s="4" t="s">
        <v>20</v>
      </c>
      <c r="N305" s="4" t="s">
        <v>39</v>
      </c>
      <c r="O305" s="4" t="s">
        <v>40</v>
      </c>
    </row>
    <row r="306" spans="2:15" ht="21" customHeight="1" x14ac:dyDescent="0.3">
      <c r="B306" s="11" t="s">
        <v>14</v>
      </c>
      <c r="C306" s="12">
        <v>29</v>
      </c>
      <c r="D306" s="13" t="s">
        <v>41</v>
      </c>
      <c r="E306" s="11" t="s">
        <v>53</v>
      </c>
      <c r="F306" s="11" t="s">
        <v>24</v>
      </c>
      <c r="G306" s="14">
        <v>3</v>
      </c>
      <c r="H306" s="15">
        <v>15000000</v>
      </c>
      <c r="I306" s="11">
        <v>2</v>
      </c>
      <c r="J306" s="16">
        <v>1.3888888888888889E-3</v>
      </c>
      <c r="K306" s="11" t="s">
        <v>18</v>
      </c>
      <c r="L306" s="11" t="s">
        <v>19</v>
      </c>
      <c r="M306" s="11" t="s">
        <v>35</v>
      </c>
      <c r="N306" s="11" t="s">
        <v>36</v>
      </c>
      <c r="O306" s="11" t="s">
        <v>37</v>
      </c>
    </row>
    <row r="307" spans="2:15" ht="21" customHeight="1" x14ac:dyDescent="0.3">
      <c r="B307" s="4" t="s">
        <v>14</v>
      </c>
      <c r="C307" s="5">
        <v>27</v>
      </c>
      <c r="D307" s="6" t="s">
        <v>41</v>
      </c>
      <c r="E307" s="4" t="s">
        <v>53</v>
      </c>
      <c r="F307" s="4" t="s">
        <v>46</v>
      </c>
      <c r="G307" s="7">
        <v>5</v>
      </c>
      <c r="H307" s="1">
        <v>25000000</v>
      </c>
      <c r="I307" s="4">
        <v>4</v>
      </c>
      <c r="J307" s="8">
        <v>1.3888888888888889E-3</v>
      </c>
      <c r="K307" s="4" t="s">
        <v>18</v>
      </c>
      <c r="L307" s="4" t="s">
        <v>60</v>
      </c>
      <c r="M307" s="4" t="s">
        <v>47</v>
      </c>
      <c r="N307" s="4" t="s">
        <v>27</v>
      </c>
      <c r="O307" s="4" t="s">
        <v>33</v>
      </c>
    </row>
    <row r="308" spans="2:15" ht="21" customHeight="1" x14ac:dyDescent="0.3">
      <c r="B308" s="11" t="s">
        <v>14</v>
      </c>
      <c r="C308" s="12">
        <v>15</v>
      </c>
      <c r="D308" s="13" t="s">
        <v>48</v>
      </c>
      <c r="E308" s="11" t="s">
        <v>42</v>
      </c>
      <c r="F308" s="11" t="s">
        <v>17</v>
      </c>
      <c r="G308" s="14">
        <v>4</v>
      </c>
      <c r="H308" s="15">
        <v>15000000</v>
      </c>
      <c r="I308" s="11">
        <v>1</v>
      </c>
      <c r="J308" s="16">
        <v>1.3888888888888889E-3</v>
      </c>
      <c r="K308" s="11" t="s">
        <v>18</v>
      </c>
      <c r="L308" s="11" t="s">
        <v>60</v>
      </c>
      <c r="M308" s="11" t="s">
        <v>32</v>
      </c>
      <c r="N308" s="11" t="s">
        <v>27</v>
      </c>
      <c r="O308" s="11" t="s">
        <v>56</v>
      </c>
    </row>
    <row r="309" spans="2:15" ht="21" customHeight="1" x14ac:dyDescent="0.3">
      <c r="B309" s="4" t="s">
        <v>14</v>
      </c>
      <c r="C309" s="5">
        <v>16</v>
      </c>
      <c r="D309" s="6" t="s">
        <v>48</v>
      </c>
      <c r="E309" s="4" t="s">
        <v>77</v>
      </c>
      <c r="F309" s="4" t="s">
        <v>24</v>
      </c>
      <c r="G309" s="7">
        <v>2</v>
      </c>
      <c r="H309" s="1">
        <v>12000000</v>
      </c>
      <c r="I309" s="4">
        <v>3</v>
      </c>
      <c r="J309" s="8">
        <v>1.3888888888888889E-3</v>
      </c>
      <c r="K309" s="4" t="s">
        <v>18</v>
      </c>
      <c r="L309" s="4" t="s">
        <v>54</v>
      </c>
      <c r="M309" s="4" t="s">
        <v>47</v>
      </c>
      <c r="N309" s="4" t="s">
        <v>39</v>
      </c>
      <c r="O309" s="4" t="s">
        <v>40</v>
      </c>
    </row>
    <row r="310" spans="2:15" ht="21" customHeight="1" x14ac:dyDescent="0.3">
      <c r="B310" s="11" t="s">
        <v>14</v>
      </c>
      <c r="C310" s="12">
        <v>27</v>
      </c>
      <c r="D310" s="13" t="s">
        <v>48</v>
      </c>
      <c r="E310" s="11" t="s">
        <v>53</v>
      </c>
      <c r="F310" s="11" t="s">
        <v>17</v>
      </c>
      <c r="G310" s="14">
        <v>5</v>
      </c>
      <c r="H310" s="15">
        <v>20000000</v>
      </c>
      <c r="I310" s="11">
        <v>1</v>
      </c>
      <c r="J310" s="16">
        <v>1.3888888888888889E-3</v>
      </c>
      <c r="K310" s="11" t="s">
        <v>18</v>
      </c>
      <c r="L310" s="11" t="s">
        <v>19</v>
      </c>
      <c r="M310" s="11" t="s">
        <v>32</v>
      </c>
      <c r="N310" s="11" t="s">
        <v>21</v>
      </c>
      <c r="O310" s="11" t="s">
        <v>67</v>
      </c>
    </row>
    <row r="311" spans="2:15" ht="21" customHeight="1" x14ac:dyDescent="0.3">
      <c r="B311" s="4" t="s">
        <v>14</v>
      </c>
      <c r="C311" s="5">
        <v>3</v>
      </c>
      <c r="D311" s="6" t="s">
        <v>48</v>
      </c>
      <c r="E311" s="4" t="s">
        <v>34</v>
      </c>
      <c r="F311" s="4" t="s">
        <v>24</v>
      </c>
      <c r="G311" s="7">
        <v>2</v>
      </c>
      <c r="H311" s="1">
        <v>12000000</v>
      </c>
      <c r="I311" s="4">
        <v>4</v>
      </c>
      <c r="J311" s="8">
        <v>1.3888888888888889E-3</v>
      </c>
      <c r="K311" s="4" t="s">
        <v>18</v>
      </c>
      <c r="L311" s="4" t="s">
        <v>19</v>
      </c>
      <c r="M311" s="4" t="s">
        <v>47</v>
      </c>
      <c r="N311" s="4" t="s">
        <v>39</v>
      </c>
      <c r="O311" s="4" t="s">
        <v>71</v>
      </c>
    </row>
    <row r="312" spans="2:15" ht="21" customHeight="1" x14ac:dyDescent="0.3">
      <c r="B312" s="11" t="s">
        <v>14</v>
      </c>
      <c r="C312" s="12">
        <v>26</v>
      </c>
      <c r="D312" s="13" t="s">
        <v>48</v>
      </c>
      <c r="E312" s="11" t="s">
        <v>42</v>
      </c>
      <c r="F312" s="11" t="s">
        <v>24</v>
      </c>
      <c r="G312" s="14">
        <v>3</v>
      </c>
      <c r="H312" s="15">
        <v>12000000</v>
      </c>
      <c r="I312" s="11">
        <v>1</v>
      </c>
      <c r="J312" s="16">
        <v>1.3888888888888889E-3</v>
      </c>
      <c r="K312" s="11" t="s">
        <v>18</v>
      </c>
      <c r="L312" s="11" t="s">
        <v>19</v>
      </c>
      <c r="M312" s="11" t="s">
        <v>55</v>
      </c>
      <c r="N312" s="11" t="s">
        <v>36</v>
      </c>
      <c r="O312" s="11" t="s">
        <v>69</v>
      </c>
    </row>
    <row r="313" spans="2:15" ht="21" customHeight="1" x14ac:dyDescent="0.3">
      <c r="B313" s="4" t="s">
        <v>14</v>
      </c>
      <c r="C313" s="5">
        <v>22</v>
      </c>
      <c r="D313" s="6" t="s">
        <v>73</v>
      </c>
      <c r="E313" s="4" t="s">
        <v>16</v>
      </c>
      <c r="F313" s="4" t="s">
        <v>46</v>
      </c>
      <c r="G313" s="7">
        <v>2</v>
      </c>
      <c r="H313" s="1">
        <v>12000000</v>
      </c>
      <c r="I313" s="4">
        <v>4</v>
      </c>
      <c r="J313" s="8">
        <v>1.3888888888888889E-3</v>
      </c>
      <c r="K313" s="4" t="s">
        <v>18</v>
      </c>
      <c r="L313" s="4" t="s">
        <v>68</v>
      </c>
      <c r="M313" s="4" t="s">
        <v>35</v>
      </c>
      <c r="N313" s="4" t="s">
        <v>21</v>
      </c>
      <c r="O313" s="4" t="s">
        <v>57</v>
      </c>
    </row>
    <row r="314" spans="2:15" ht="21" customHeight="1" x14ac:dyDescent="0.3">
      <c r="B314" s="11" t="s">
        <v>14</v>
      </c>
      <c r="C314" s="12">
        <v>24</v>
      </c>
      <c r="D314" s="13" t="s">
        <v>73</v>
      </c>
      <c r="E314" s="11" t="s">
        <v>16</v>
      </c>
      <c r="F314" s="11" t="s">
        <v>46</v>
      </c>
      <c r="G314" s="14">
        <v>1</v>
      </c>
      <c r="H314" s="15">
        <v>7000000</v>
      </c>
      <c r="I314" s="11">
        <v>2</v>
      </c>
      <c r="J314" s="16">
        <v>1.3888888888888889E-3</v>
      </c>
      <c r="K314" s="11" t="s">
        <v>18</v>
      </c>
      <c r="L314" s="11" t="s">
        <v>60</v>
      </c>
      <c r="M314" s="11" t="s">
        <v>35</v>
      </c>
      <c r="N314" s="11" t="s">
        <v>36</v>
      </c>
      <c r="O314" s="11" t="s">
        <v>69</v>
      </c>
    </row>
    <row r="315" spans="2:15" ht="21" customHeight="1" x14ac:dyDescent="0.3">
      <c r="B315" s="4" t="s">
        <v>14</v>
      </c>
      <c r="C315" s="5">
        <v>24</v>
      </c>
      <c r="D315" s="6" t="s">
        <v>73</v>
      </c>
      <c r="E315" s="4" t="s">
        <v>16</v>
      </c>
      <c r="F315" s="4" t="s">
        <v>72</v>
      </c>
      <c r="G315" s="7">
        <v>5</v>
      </c>
      <c r="H315" s="1">
        <v>25000000</v>
      </c>
      <c r="I315" s="4">
        <v>2</v>
      </c>
      <c r="J315" s="8">
        <v>1.3888888888888889E-3</v>
      </c>
      <c r="K315" s="4" t="s">
        <v>18</v>
      </c>
      <c r="L315" s="4" t="s">
        <v>19</v>
      </c>
      <c r="M315" s="4" t="s">
        <v>47</v>
      </c>
      <c r="N315" s="4" t="s">
        <v>39</v>
      </c>
      <c r="O315" s="4" t="s">
        <v>40</v>
      </c>
    </row>
    <row r="316" spans="2:15" ht="21" customHeight="1" x14ac:dyDescent="0.3">
      <c r="B316" s="11" t="s">
        <v>14</v>
      </c>
      <c r="C316" s="12">
        <v>11</v>
      </c>
      <c r="D316" s="13" t="s">
        <v>61</v>
      </c>
      <c r="E316" s="11" t="s">
        <v>42</v>
      </c>
      <c r="F316" s="11" t="s">
        <v>46</v>
      </c>
      <c r="G316" s="14">
        <v>2</v>
      </c>
      <c r="H316" s="15">
        <v>38000000</v>
      </c>
      <c r="I316" s="11">
        <v>5</v>
      </c>
      <c r="J316" s="16">
        <v>1.3888888888888889E-3</v>
      </c>
      <c r="K316" s="11" t="s">
        <v>50</v>
      </c>
      <c r="L316" s="11" t="s">
        <v>54</v>
      </c>
      <c r="M316" s="11" t="s">
        <v>35</v>
      </c>
      <c r="N316" s="11" t="s">
        <v>27</v>
      </c>
      <c r="O316" s="11" t="s">
        <v>28</v>
      </c>
    </row>
    <row r="317" spans="2:15" ht="21" customHeight="1" x14ac:dyDescent="0.3">
      <c r="B317" s="4" t="s">
        <v>14</v>
      </c>
      <c r="C317" s="5">
        <v>15</v>
      </c>
      <c r="D317" s="6" t="s">
        <v>23</v>
      </c>
      <c r="E317" s="4" t="s">
        <v>16</v>
      </c>
      <c r="F317" s="4" t="s">
        <v>24</v>
      </c>
      <c r="G317" s="7">
        <v>3</v>
      </c>
      <c r="H317" s="1">
        <v>15000000</v>
      </c>
      <c r="I317" s="4">
        <v>2</v>
      </c>
      <c r="J317" s="8">
        <v>1.3888888888888889E-3</v>
      </c>
      <c r="K317" s="4" t="s">
        <v>18</v>
      </c>
      <c r="L317" s="4" t="s">
        <v>60</v>
      </c>
      <c r="M317" s="4" t="s">
        <v>47</v>
      </c>
      <c r="N317" s="4" t="s">
        <v>21</v>
      </c>
      <c r="O317" s="4" t="s">
        <v>57</v>
      </c>
    </row>
    <row r="318" spans="2:15" ht="21" customHeight="1" x14ac:dyDescent="0.3">
      <c r="B318" s="11" t="s">
        <v>74</v>
      </c>
      <c r="C318" s="12">
        <v>17</v>
      </c>
      <c r="D318" s="13" t="s">
        <v>62</v>
      </c>
      <c r="E318" s="11" t="s">
        <v>30</v>
      </c>
      <c r="F318" s="11" t="s">
        <v>24</v>
      </c>
      <c r="G318" s="14">
        <v>0</v>
      </c>
      <c r="H318" s="15">
        <v>0</v>
      </c>
      <c r="I318" s="11">
        <v>2</v>
      </c>
      <c r="J318" s="16">
        <v>1.3888888888888889E-3</v>
      </c>
      <c r="K318" s="11"/>
      <c r="L318" s="11"/>
      <c r="M318" s="11" t="s">
        <v>32</v>
      </c>
      <c r="N318" s="11" t="s">
        <v>27</v>
      </c>
      <c r="O318" s="11" t="s">
        <v>33</v>
      </c>
    </row>
    <row r="319" spans="2:15" ht="21" customHeight="1" x14ac:dyDescent="0.3">
      <c r="B319" s="4" t="s">
        <v>74</v>
      </c>
      <c r="C319" s="5">
        <v>6</v>
      </c>
      <c r="D319" s="6" t="s">
        <v>23</v>
      </c>
      <c r="E319" s="4" t="s">
        <v>16</v>
      </c>
      <c r="F319" s="4" t="s">
        <v>17</v>
      </c>
      <c r="G319" s="7">
        <v>0</v>
      </c>
      <c r="H319" s="1">
        <v>0</v>
      </c>
      <c r="I319" s="4">
        <v>1</v>
      </c>
      <c r="J319" s="8">
        <v>1.3888888888888889E-3</v>
      </c>
      <c r="K319" s="4"/>
      <c r="L319" s="4"/>
      <c r="M319" s="4" t="s">
        <v>47</v>
      </c>
      <c r="N319" s="4" t="s">
        <v>36</v>
      </c>
      <c r="O319" s="4" t="s">
        <v>69</v>
      </c>
    </row>
    <row r="320" spans="2:15" ht="21" customHeight="1" x14ac:dyDescent="0.3">
      <c r="B320" s="11" t="s">
        <v>74</v>
      </c>
      <c r="C320" s="12">
        <v>18</v>
      </c>
      <c r="D320" s="13" t="s">
        <v>29</v>
      </c>
      <c r="E320" s="11" t="s">
        <v>16</v>
      </c>
      <c r="F320" s="11" t="s">
        <v>24</v>
      </c>
      <c r="G320" s="14">
        <v>0</v>
      </c>
      <c r="H320" s="15">
        <v>0</v>
      </c>
      <c r="I320" s="11">
        <v>1</v>
      </c>
      <c r="J320" s="16">
        <v>1.3888888888888889E-3</v>
      </c>
      <c r="K320" s="11"/>
      <c r="L320" s="11"/>
      <c r="M320" s="11" t="s">
        <v>55</v>
      </c>
      <c r="N320" s="11" t="s">
        <v>36</v>
      </c>
      <c r="O320" s="11" t="s">
        <v>58</v>
      </c>
    </row>
    <row r="321" spans="2:15" ht="21" customHeight="1" x14ac:dyDescent="0.3">
      <c r="B321" s="4" t="s">
        <v>74</v>
      </c>
      <c r="C321" s="5">
        <v>11</v>
      </c>
      <c r="D321" s="6" t="s">
        <v>48</v>
      </c>
      <c r="E321" s="4" t="s">
        <v>77</v>
      </c>
      <c r="F321" s="4" t="s">
        <v>46</v>
      </c>
      <c r="G321" s="7">
        <v>0</v>
      </c>
      <c r="H321" s="1">
        <v>0</v>
      </c>
      <c r="I321" s="4">
        <v>4</v>
      </c>
      <c r="J321" s="8">
        <v>1.3888888888888889E-3</v>
      </c>
      <c r="K321" s="4"/>
      <c r="L321" s="4"/>
      <c r="M321" s="4" t="s">
        <v>52</v>
      </c>
      <c r="N321" s="4" t="s">
        <v>27</v>
      </c>
      <c r="O321" s="4" t="s">
        <v>28</v>
      </c>
    </row>
    <row r="322" spans="2:15" ht="21" customHeight="1" x14ac:dyDescent="0.3">
      <c r="B322" s="11" t="s">
        <v>74</v>
      </c>
      <c r="C322" s="12">
        <v>21</v>
      </c>
      <c r="D322" s="13" t="s">
        <v>73</v>
      </c>
      <c r="E322" s="11" t="s">
        <v>53</v>
      </c>
      <c r="F322" s="11" t="s">
        <v>24</v>
      </c>
      <c r="G322" s="14">
        <v>0</v>
      </c>
      <c r="H322" s="15">
        <v>0</v>
      </c>
      <c r="I322" s="11">
        <v>1</v>
      </c>
      <c r="J322" s="16">
        <v>1.3888888888888889E-3</v>
      </c>
      <c r="K322" s="11"/>
      <c r="L322" s="11"/>
      <c r="M322" s="11" t="s">
        <v>44</v>
      </c>
      <c r="N322" s="11" t="s">
        <v>21</v>
      </c>
      <c r="O322" s="11" t="s">
        <v>67</v>
      </c>
    </row>
    <row r="323" spans="2:15" ht="21" customHeight="1" x14ac:dyDescent="0.3">
      <c r="B323" s="4" t="s">
        <v>74</v>
      </c>
      <c r="C323" s="5">
        <v>17</v>
      </c>
      <c r="D323" s="6" t="s">
        <v>62</v>
      </c>
      <c r="E323" s="4" t="s">
        <v>30</v>
      </c>
      <c r="F323" s="4" t="s">
        <v>24</v>
      </c>
      <c r="G323" s="7">
        <v>0</v>
      </c>
      <c r="H323" s="1">
        <v>0</v>
      </c>
      <c r="I323" s="4">
        <v>2</v>
      </c>
      <c r="J323" s="8">
        <v>1.3888888888888889E-3</v>
      </c>
      <c r="K323" s="4"/>
      <c r="L323" s="4"/>
      <c r="M323" s="4" t="s">
        <v>32</v>
      </c>
      <c r="N323" s="4" t="s">
        <v>27</v>
      </c>
      <c r="O323" s="4" t="s">
        <v>33</v>
      </c>
    </row>
    <row r="324" spans="2:15" ht="21" customHeight="1" x14ac:dyDescent="0.3">
      <c r="B324" s="11" t="s">
        <v>14</v>
      </c>
      <c r="C324" s="12">
        <v>12</v>
      </c>
      <c r="D324" s="13" t="s">
        <v>59</v>
      </c>
      <c r="E324" s="11" t="s">
        <v>30</v>
      </c>
      <c r="F324" s="11" t="s">
        <v>24</v>
      </c>
      <c r="G324" s="14">
        <v>2</v>
      </c>
      <c r="H324" s="15">
        <v>12000000</v>
      </c>
      <c r="I324" s="11">
        <v>1</v>
      </c>
      <c r="J324" s="16">
        <v>1.3888888888888889E-3</v>
      </c>
      <c r="K324" s="11" t="s">
        <v>18</v>
      </c>
      <c r="L324" s="11" t="s">
        <v>31</v>
      </c>
      <c r="M324" s="11" t="s">
        <v>35</v>
      </c>
      <c r="N324" s="11" t="s">
        <v>27</v>
      </c>
      <c r="O324" s="11" t="s">
        <v>75</v>
      </c>
    </row>
    <row r="325" spans="2:15" ht="21" customHeight="1" x14ac:dyDescent="0.3">
      <c r="B325" s="4" t="s">
        <v>14</v>
      </c>
      <c r="C325" s="5">
        <v>1</v>
      </c>
      <c r="D325" s="6" t="s">
        <v>15</v>
      </c>
      <c r="E325" s="4" t="s">
        <v>34</v>
      </c>
      <c r="F325" s="4" t="s">
        <v>46</v>
      </c>
      <c r="G325" s="7">
        <v>4</v>
      </c>
      <c r="H325" s="1">
        <v>20000000</v>
      </c>
      <c r="I325" s="4">
        <v>1</v>
      </c>
      <c r="J325" s="8">
        <v>1.3888888888888889E-3</v>
      </c>
      <c r="K325" s="4" t="s">
        <v>18</v>
      </c>
      <c r="L325" s="4" t="s">
        <v>38</v>
      </c>
      <c r="M325" s="4" t="s">
        <v>35</v>
      </c>
      <c r="N325" s="4" t="s">
        <v>27</v>
      </c>
      <c r="O325" s="4" t="s">
        <v>79</v>
      </c>
    </row>
    <row r="326" spans="2:15" ht="21" customHeight="1" x14ac:dyDescent="0.3">
      <c r="B326" s="11" t="s">
        <v>14</v>
      </c>
      <c r="C326" s="12">
        <v>27</v>
      </c>
      <c r="D326" s="13" t="s">
        <v>23</v>
      </c>
      <c r="E326" s="11" t="s">
        <v>16</v>
      </c>
      <c r="F326" s="11" t="s">
        <v>24</v>
      </c>
      <c r="G326" s="14">
        <v>4</v>
      </c>
      <c r="H326" s="15">
        <v>11000000</v>
      </c>
      <c r="I326" s="11">
        <v>1</v>
      </c>
      <c r="J326" s="16">
        <v>1.3888888888888889E-3</v>
      </c>
      <c r="K326" s="11" t="s">
        <v>65</v>
      </c>
      <c r="L326" s="11" t="s">
        <v>51</v>
      </c>
      <c r="M326" s="11" t="s">
        <v>26</v>
      </c>
      <c r="N326" s="11" t="s">
        <v>36</v>
      </c>
      <c r="O326" s="11" t="s">
        <v>58</v>
      </c>
    </row>
    <row r="327" spans="2:15" ht="21" customHeight="1" x14ac:dyDescent="0.3">
      <c r="B327" s="4" t="s">
        <v>14</v>
      </c>
      <c r="C327" s="5">
        <v>26</v>
      </c>
      <c r="D327" s="6" t="s">
        <v>23</v>
      </c>
      <c r="E327" s="4" t="s">
        <v>77</v>
      </c>
      <c r="F327" s="4" t="s">
        <v>17</v>
      </c>
      <c r="G327" s="7">
        <v>3</v>
      </c>
      <c r="H327" s="1">
        <v>15000000</v>
      </c>
      <c r="I327" s="4">
        <v>1</v>
      </c>
      <c r="J327" s="8">
        <v>1.3888888888888889E-3</v>
      </c>
      <c r="K327" s="4" t="s">
        <v>18</v>
      </c>
      <c r="L327" s="4" t="s">
        <v>68</v>
      </c>
      <c r="M327" s="4" t="s">
        <v>47</v>
      </c>
      <c r="N327" s="4" t="s">
        <v>27</v>
      </c>
      <c r="O327" s="4" t="s">
        <v>33</v>
      </c>
    </row>
    <row r="328" spans="2:15" ht="21" customHeight="1" x14ac:dyDescent="0.3">
      <c r="B328" s="11" t="s">
        <v>14</v>
      </c>
      <c r="C328" s="12">
        <v>30</v>
      </c>
      <c r="D328" s="13" t="s">
        <v>29</v>
      </c>
      <c r="E328" s="11" t="s">
        <v>34</v>
      </c>
      <c r="F328" s="11" t="s">
        <v>46</v>
      </c>
      <c r="G328" s="14">
        <v>3</v>
      </c>
      <c r="H328" s="15">
        <v>15000000</v>
      </c>
      <c r="I328" s="11">
        <v>1</v>
      </c>
      <c r="J328" s="16">
        <v>1.3888888888888889E-3</v>
      </c>
      <c r="K328" s="11" t="s">
        <v>18</v>
      </c>
      <c r="L328" s="11" t="s">
        <v>31</v>
      </c>
      <c r="M328" s="11" t="s">
        <v>47</v>
      </c>
      <c r="N328" s="11" t="s">
        <v>36</v>
      </c>
      <c r="O328" s="11" t="s">
        <v>69</v>
      </c>
    </row>
    <row r="329" spans="2:15" ht="21" customHeight="1" x14ac:dyDescent="0.3">
      <c r="B329" s="4" t="s">
        <v>14</v>
      </c>
      <c r="C329" s="5">
        <v>11</v>
      </c>
      <c r="D329" s="6" t="s">
        <v>29</v>
      </c>
      <c r="E329" s="4" t="s">
        <v>34</v>
      </c>
      <c r="F329" s="4" t="s">
        <v>17</v>
      </c>
      <c r="G329" s="7">
        <v>2</v>
      </c>
      <c r="H329" s="1">
        <v>12000000</v>
      </c>
      <c r="I329" s="4">
        <v>5</v>
      </c>
      <c r="J329" s="8">
        <v>1.3888888888888889E-3</v>
      </c>
      <c r="K329" s="4" t="s">
        <v>18</v>
      </c>
      <c r="L329" s="4" t="s">
        <v>25</v>
      </c>
      <c r="M329" s="4" t="s">
        <v>52</v>
      </c>
      <c r="N329" s="4" t="s">
        <v>21</v>
      </c>
      <c r="O329" s="4" t="s">
        <v>66</v>
      </c>
    </row>
    <row r="330" spans="2:15" ht="21" customHeight="1" x14ac:dyDescent="0.3">
      <c r="B330" s="11" t="s">
        <v>14</v>
      </c>
      <c r="C330" s="12">
        <v>28</v>
      </c>
      <c r="D330" s="13" t="s">
        <v>41</v>
      </c>
      <c r="E330" s="11" t="s">
        <v>16</v>
      </c>
      <c r="F330" s="11" t="s">
        <v>17</v>
      </c>
      <c r="G330" s="14">
        <v>5</v>
      </c>
      <c r="H330" s="15">
        <v>21000000</v>
      </c>
      <c r="I330" s="11">
        <v>3</v>
      </c>
      <c r="J330" s="16">
        <v>1.3888888888888889E-3</v>
      </c>
      <c r="K330" s="11" t="s">
        <v>18</v>
      </c>
      <c r="L330" s="11" t="s">
        <v>43</v>
      </c>
      <c r="M330" s="11" t="s">
        <v>26</v>
      </c>
      <c r="N330" s="11" t="s">
        <v>27</v>
      </c>
      <c r="O330" s="11" t="s">
        <v>56</v>
      </c>
    </row>
    <row r="331" spans="2:15" ht="21" customHeight="1" x14ac:dyDescent="0.3">
      <c r="B331" s="4" t="s">
        <v>14</v>
      </c>
      <c r="C331" s="5">
        <v>8</v>
      </c>
      <c r="D331" s="6" t="s">
        <v>41</v>
      </c>
      <c r="E331" s="4" t="s">
        <v>53</v>
      </c>
      <c r="F331" s="4" t="s">
        <v>17</v>
      </c>
      <c r="G331" s="7">
        <v>2</v>
      </c>
      <c r="H331" s="1">
        <v>12000000</v>
      </c>
      <c r="I331" s="4">
        <v>2</v>
      </c>
      <c r="J331" s="8">
        <v>1.3888888888888889E-3</v>
      </c>
      <c r="K331" s="4" t="s">
        <v>18</v>
      </c>
      <c r="L331" s="4" t="s">
        <v>43</v>
      </c>
      <c r="M331" s="4" t="s">
        <v>35</v>
      </c>
      <c r="N331" s="4" t="s">
        <v>21</v>
      </c>
      <c r="O331" s="4" t="s">
        <v>70</v>
      </c>
    </row>
    <row r="332" spans="2:15" ht="21" customHeight="1" x14ac:dyDescent="0.3">
      <c r="B332" s="11" t="s">
        <v>14</v>
      </c>
      <c r="C332" s="12">
        <v>25</v>
      </c>
      <c r="D332" s="13" t="s">
        <v>41</v>
      </c>
      <c r="E332" s="11" t="s">
        <v>16</v>
      </c>
      <c r="F332" s="11" t="s">
        <v>24</v>
      </c>
      <c r="G332" s="14">
        <v>5</v>
      </c>
      <c r="H332" s="15">
        <v>25000000</v>
      </c>
      <c r="I332" s="11">
        <v>1</v>
      </c>
      <c r="J332" s="16">
        <v>1.3888888888888889E-3</v>
      </c>
      <c r="K332" s="11" t="s">
        <v>18</v>
      </c>
      <c r="L332" s="11" t="s">
        <v>19</v>
      </c>
      <c r="M332" s="11" t="s">
        <v>52</v>
      </c>
      <c r="N332" s="11" t="s">
        <v>39</v>
      </c>
      <c r="O332" s="11" t="s">
        <v>40</v>
      </c>
    </row>
    <row r="333" spans="2:15" ht="21" customHeight="1" x14ac:dyDescent="0.3">
      <c r="B333" s="4" t="s">
        <v>14</v>
      </c>
      <c r="C333" s="5">
        <v>2</v>
      </c>
      <c r="D333" s="6" t="s">
        <v>41</v>
      </c>
      <c r="E333" s="4" t="s">
        <v>34</v>
      </c>
      <c r="F333" s="4" t="s">
        <v>24</v>
      </c>
      <c r="G333" s="7">
        <v>3</v>
      </c>
      <c r="H333" s="1">
        <v>15000000</v>
      </c>
      <c r="I333" s="4">
        <v>3</v>
      </c>
      <c r="J333" s="8">
        <v>1.3888888888888889E-3</v>
      </c>
      <c r="K333" s="4" t="s">
        <v>18</v>
      </c>
      <c r="L333" s="4" t="s">
        <v>19</v>
      </c>
      <c r="M333" s="4" t="s">
        <v>55</v>
      </c>
      <c r="N333" s="4" t="s">
        <v>21</v>
      </c>
      <c r="O333" s="4" t="s">
        <v>70</v>
      </c>
    </row>
    <row r="334" spans="2:15" ht="21" customHeight="1" x14ac:dyDescent="0.3">
      <c r="B334" s="11" t="s">
        <v>14</v>
      </c>
      <c r="C334" s="12">
        <v>29</v>
      </c>
      <c r="D334" s="13" t="s">
        <v>41</v>
      </c>
      <c r="E334" s="11" t="s">
        <v>16</v>
      </c>
      <c r="F334" s="11" t="s">
        <v>24</v>
      </c>
      <c r="G334" s="14">
        <v>2</v>
      </c>
      <c r="H334" s="15">
        <v>12000000</v>
      </c>
      <c r="I334" s="11">
        <v>1</v>
      </c>
      <c r="J334" s="16">
        <v>1.3888888888888889E-3</v>
      </c>
      <c r="K334" s="11" t="s">
        <v>18</v>
      </c>
      <c r="L334" s="11" t="s">
        <v>60</v>
      </c>
      <c r="M334" s="11" t="s">
        <v>55</v>
      </c>
      <c r="N334" s="11" t="s">
        <v>27</v>
      </c>
      <c r="O334" s="11" t="s">
        <v>33</v>
      </c>
    </row>
    <row r="335" spans="2:15" ht="21" customHeight="1" x14ac:dyDescent="0.3">
      <c r="B335" s="4" t="s">
        <v>14</v>
      </c>
      <c r="C335" s="5">
        <v>6</v>
      </c>
      <c r="D335" s="6" t="s">
        <v>48</v>
      </c>
      <c r="E335" s="4" t="s">
        <v>30</v>
      </c>
      <c r="F335" s="4" t="s">
        <v>24</v>
      </c>
      <c r="G335" s="7">
        <v>3</v>
      </c>
      <c r="H335" s="1">
        <v>15000000</v>
      </c>
      <c r="I335" s="4">
        <v>1</v>
      </c>
      <c r="J335" s="8">
        <v>1.3888888888888889E-3</v>
      </c>
      <c r="K335" s="4" t="s">
        <v>18</v>
      </c>
      <c r="L335" s="4" t="s">
        <v>19</v>
      </c>
      <c r="M335" s="4" t="s">
        <v>32</v>
      </c>
      <c r="N335" s="4" t="s">
        <v>27</v>
      </c>
      <c r="O335" s="4" t="s">
        <v>56</v>
      </c>
    </row>
    <row r="336" spans="2:15" ht="21" customHeight="1" x14ac:dyDescent="0.3">
      <c r="B336" s="11" t="s">
        <v>14</v>
      </c>
      <c r="C336" s="12">
        <v>19</v>
      </c>
      <c r="D336" s="13" t="s">
        <v>48</v>
      </c>
      <c r="E336" s="11" t="s">
        <v>16</v>
      </c>
      <c r="F336" s="11" t="s">
        <v>24</v>
      </c>
      <c r="G336" s="14">
        <v>3</v>
      </c>
      <c r="H336" s="15">
        <v>15000000</v>
      </c>
      <c r="I336" s="11">
        <v>5</v>
      </c>
      <c r="J336" s="16">
        <v>1.3888888888888889E-3</v>
      </c>
      <c r="K336" s="11" t="s">
        <v>18</v>
      </c>
      <c r="L336" s="11" t="s">
        <v>60</v>
      </c>
      <c r="M336" s="11" t="s">
        <v>32</v>
      </c>
      <c r="N336" s="11" t="s">
        <v>27</v>
      </c>
      <c r="O336" s="11" t="s">
        <v>56</v>
      </c>
    </row>
    <row r="337" spans="2:15" ht="21" customHeight="1" x14ac:dyDescent="0.3">
      <c r="B337" s="4" t="s">
        <v>14</v>
      </c>
      <c r="C337" s="5">
        <v>22</v>
      </c>
      <c r="D337" s="6" t="s">
        <v>48</v>
      </c>
      <c r="E337" s="4" t="s">
        <v>53</v>
      </c>
      <c r="F337" s="4" t="s">
        <v>24</v>
      </c>
      <c r="G337" s="7">
        <v>2</v>
      </c>
      <c r="H337" s="1">
        <v>12000000</v>
      </c>
      <c r="I337" s="4">
        <v>2</v>
      </c>
      <c r="J337" s="8">
        <v>1.3888888888888889E-3</v>
      </c>
      <c r="K337" s="4" t="s">
        <v>18</v>
      </c>
      <c r="L337" s="4" t="s">
        <v>31</v>
      </c>
      <c r="M337" s="4" t="s">
        <v>26</v>
      </c>
      <c r="N337" s="4" t="s">
        <v>21</v>
      </c>
      <c r="O337" s="4" t="s">
        <v>57</v>
      </c>
    </row>
    <row r="338" spans="2:15" ht="21" customHeight="1" x14ac:dyDescent="0.3">
      <c r="B338" s="11" t="s">
        <v>14</v>
      </c>
      <c r="C338" s="12">
        <v>3</v>
      </c>
      <c r="D338" s="13" t="s">
        <v>48</v>
      </c>
      <c r="E338" s="11" t="s">
        <v>30</v>
      </c>
      <c r="F338" s="11" t="s">
        <v>46</v>
      </c>
      <c r="G338" s="14">
        <v>5</v>
      </c>
      <c r="H338" s="15">
        <v>25000000</v>
      </c>
      <c r="I338" s="11">
        <v>3</v>
      </c>
      <c r="J338" s="16">
        <v>1.3888888888888889E-3</v>
      </c>
      <c r="K338" s="11" t="s">
        <v>18</v>
      </c>
      <c r="L338" s="11" t="s">
        <v>43</v>
      </c>
      <c r="M338" s="11" t="s">
        <v>44</v>
      </c>
      <c r="N338" s="11" t="s">
        <v>21</v>
      </c>
      <c r="O338" s="11" t="s">
        <v>45</v>
      </c>
    </row>
    <row r="339" spans="2:15" ht="21" customHeight="1" x14ac:dyDescent="0.3">
      <c r="B339" s="4" t="s">
        <v>14</v>
      </c>
      <c r="C339" s="5">
        <v>2</v>
      </c>
      <c r="D339" s="6" t="s">
        <v>48</v>
      </c>
      <c r="E339" s="4" t="s">
        <v>30</v>
      </c>
      <c r="F339" s="4" t="s">
        <v>46</v>
      </c>
      <c r="G339" s="7">
        <v>5</v>
      </c>
      <c r="H339" s="1">
        <v>25000000</v>
      </c>
      <c r="I339" s="4">
        <v>1</v>
      </c>
      <c r="J339" s="8">
        <v>1.3888888888888889E-3</v>
      </c>
      <c r="K339" s="4" t="s">
        <v>18</v>
      </c>
      <c r="L339" s="4" t="s">
        <v>60</v>
      </c>
      <c r="M339" s="4" t="s">
        <v>55</v>
      </c>
      <c r="N339" s="4" t="s">
        <v>21</v>
      </c>
      <c r="O339" s="4" t="s">
        <v>70</v>
      </c>
    </row>
    <row r="340" spans="2:15" ht="21" customHeight="1" x14ac:dyDescent="0.3">
      <c r="B340" s="11" t="s">
        <v>14</v>
      </c>
      <c r="C340" s="12">
        <v>1</v>
      </c>
      <c r="D340" s="13" t="s">
        <v>73</v>
      </c>
      <c r="E340" s="11" t="s">
        <v>34</v>
      </c>
      <c r="F340" s="11" t="s">
        <v>46</v>
      </c>
      <c r="G340" s="14">
        <v>4</v>
      </c>
      <c r="H340" s="15">
        <v>20000000</v>
      </c>
      <c r="I340" s="11">
        <v>4</v>
      </c>
      <c r="J340" s="16">
        <v>1.3888888888888889E-3</v>
      </c>
      <c r="K340" s="11" t="s">
        <v>18</v>
      </c>
      <c r="L340" s="11" t="s">
        <v>25</v>
      </c>
      <c r="M340" s="11" t="s">
        <v>55</v>
      </c>
      <c r="N340" s="11" t="s">
        <v>27</v>
      </c>
      <c r="O340" s="11" t="s">
        <v>56</v>
      </c>
    </row>
    <row r="341" spans="2:15" ht="21" customHeight="1" x14ac:dyDescent="0.3">
      <c r="B341" s="4" t="s">
        <v>14</v>
      </c>
      <c r="C341" s="5">
        <v>17</v>
      </c>
      <c r="D341" s="6" t="s">
        <v>73</v>
      </c>
      <c r="E341" s="4" t="s">
        <v>77</v>
      </c>
      <c r="F341" s="4" t="s">
        <v>17</v>
      </c>
      <c r="G341" s="7">
        <v>3</v>
      </c>
      <c r="H341" s="1">
        <v>15000000</v>
      </c>
      <c r="I341" s="4">
        <v>5</v>
      </c>
      <c r="J341" s="8">
        <v>1.3888888888888889E-3</v>
      </c>
      <c r="K341" s="4" t="s">
        <v>18</v>
      </c>
      <c r="L341" s="4" t="s">
        <v>43</v>
      </c>
      <c r="M341" s="4" t="s">
        <v>55</v>
      </c>
      <c r="N341" s="4" t="s">
        <v>36</v>
      </c>
      <c r="O341" s="4" t="s">
        <v>58</v>
      </c>
    </row>
    <row r="342" spans="2:15" ht="21" customHeight="1" x14ac:dyDescent="0.3">
      <c r="B342" s="11" t="s">
        <v>14</v>
      </c>
      <c r="C342" s="12">
        <v>2</v>
      </c>
      <c r="D342" s="13" t="s">
        <v>73</v>
      </c>
      <c r="E342" s="11" t="s">
        <v>34</v>
      </c>
      <c r="F342" s="11" t="s">
        <v>17</v>
      </c>
      <c r="G342" s="14">
        <v>2</v>
      </c>
      <c r="H342" s="15">
        <v>12000000</v>
      </c>
      <c r="I342" s="11">
        <v>2</v>
      </c>
      <c r="J342" s="16">
        <v>1.3888888888888889E-3</v>
      </c>
      <c r="K342" s="11" t="s">
        <v>18</v>
      </c>
      <c r="L342" s="11" t="s">
        <v>60</v>
      </c>
      <c r="M342" s="11" t="s">
        <v>20</v>
      </c>
      <c r="N342" s="11" t="s">
        <v>21</v>
      </c>
      <c r="O342" s="11" t="s">
        <v>45</v>
      </c>
    </row>
    <row r="343" spans="2:15" ht="21" customHeight="1" x14ac:dyDescent="0.3">
      <c r="B343" s="4" t="s">
        <v>14</v>
      </c>
      <c r="C343" s="5">
        <v>12</v>
      </c>
      <c r="D343" s="6" t="s">
        <v>59</v>
      </c>
      <c r="E343" s="4" t="s">
        <v>30</v>
      </c>
      <c r="F343" s="4" t="s">
        <v>24</v>
      </c>
      <c r="G343" s="7">
        <v>2</v>
      </c>
      <c r="H343" s="1">
        <v>12000000</v>
      </c>
      <c r="I343" s="4">
        <v>1</v>
      </c>
      <c r="J343" s="8">
        <v>1.3888888888888889E-3</v>
      </c>
      <c r="K343" s="4" t="s">
        <v>18</v>
      </c>
      <c r="L343" s="4" t="s">
        <v>31</v>
      </c>
      <c r="M343" s="4" t="s">
        <v>35</v>
      </c>
      <c r="N343" s="4" t="s">
        <v>27</v>
      </c>
      <c r="O343" s="4" t="s">
        <v>75</v>
      </c>
    </row>
    <row r="344" spans="2:15" ht="21" customHeight="1" x14ac:dyDescent="0.3">
      <c r="B344" s="11" t="s">
        <v>14</v>
      </c>
      <c r="C344" s="12">
        <v>1</v>
      </c>
      <c r="D344" s="13" t="s">
        <v>15</v>
      </c>
      <c r="E344" s="11" t="s">
        <v>34</v>
      </c>
      <c r="F344" s="11" t="s">
        <v>46</v>
      </c>
      <c r="G344" s="14">
        <v>4</v>
      </c>
      <c r="H344" s="15">
        <v>20000000</v>
      </c>
      <c r="I344" s="11">
        <v>1</v>
      </c>
      <c r="J344" s="16">
        <v>1.3888888888888889E-3</v>
      </c>
      <c r="K344" s="11" t="s">
        <v>18</v>
      </c>
      <c r="L344" s="11" t="s">
        <v>38</v>
      </c>
      <c r="M344" s="11" t="s">
        <v>35</v>
      </c>
      <c r="N344" s="11" t="s">
        <v>27</v>
      </c>
      <c r="O344" s="11" t="s">
        <v>79</v>
      </c>
    </row>
    <row r="345" spans="2:15" ht="21" customHeight="1" x14ac:dyDescent="0.3">
      <c r="B345" s="4" t="s">
        <v>14</v>
      </c>
      <c r="C345" s="5">
        <v>27</v>
      </c>
      <c r="D345" s="6" t="s">
        <v>23</v>
      </c>
      <c r="E345" s="4" t="s">
        <v>16</v>
      </c>
      <c r="F345" s="4" t="s">
        <v>24</v>
      </c>
      <c r="G345" s="7">
        <v>4</v>
      </c>
      <c r="H345" s="1">
        <v>11000000</v>
      </c>
      <c r="I345" s="4">
        <v>1</v>
      </c>
      <c r="J345" s="8">
        <v>1.3888888888888889E-3</v>
      </c>
      <c r="K345" s="4" t="s">
        <v>65</v>
      </c>
      <c r="L345" s="4" t="s">
        <v>51</v>
      </c>
      <c r="M345" s="4" t="s">
        <v>26</v>
      </c>
      <c r="N345" s="4" t="s">
        <v>36</v>
      </c>
      <c r="O345" s="4" t="s">
        <v>58</v>
      </c>
    </row>
    <row r="346" spans="2:15" ht="21" customHeight="1" x14ac:dyDescent="0.3">
      <c r="B346" s="11" t="s">
        <v>74</v>
      </c>
      <c r="C346" s="12">
        <v>6</v>
      </c>
      <c r="D346" s="13" t="s">
        <v>59</v>
      </c>
      <c r="E346" s="11" t="s">
        <v>16</v>
      </c>
      <c r="F346" s="11" t="s">
        <v>17</v>
      </c>
      <c r="G346" s="14">
        <v>0</v>
      </c>
      <c r="H346" s="15">
        <v>0</v>
      </c>
      <c r="I346" s="11">
        <v>4</v>
      </c>
      <c r="J346" s="16">
        <v>1.3888888888888889E-3</v>
      </c>
      <c r="K346" s="11"/>
      <c r="L346" s="11"/>
      <c r="M346" s="11" t="s">
        <v>55</v>
      </c>
      <c r="N346" s="11" t="s">
        <v>21</v>
      </c>
      <c r="O346" s="11" t="s">
        <v>57</v>
      </c>
    </row>
    <row r="347" spans="2:15" ht="21" customHeight="1" x14ac:dyDescent="0.3">
      <c r="B347" s="4" t="s">
        <v>74</v>
      </c>
      <c r="C347" s="5">
        <v>28</v>
      </c>
      <c r="D347" s="6" t="s">
        <v>63</v>
      </c>
      <c r="E347" s="4" t="s">
        <v>42</v>
      </c>
      <c r="F347" s="4" t="s">
        <v>17</v>
      </c>
      <c r="G347" s="7">
        <v>0</v>
      </c>
      <c r="H347" s="1">
        <v>0</v>
      </c>
      <c r="I347" s="4">
        <v>1</v>
      </c>
      <c r="J347" s="8">
        <v>1.3888888888888889E-3</v>
      </c>
      <c r="K347" s="4"/>
      <c r="L347" s="4"/>
      <c r="M347" s="4" t="s">
        <v>52</v>
      </c>
      <c r="N347" s="4" t="s">
        <v>21</v>
      </c>
      <c r="O347" s="4" t="s">
        <v>45</v>
      </c>
    </row>
    <row r="348" spans="2:15" ht="21" customHeight="1" x14ac:dyDescent="0.3">
      <c r="B348" s="11" t="s">
        <v>74</v>
      </c>
      <c r="C348" s="12">
        <v>5</v>
      </c>
      <c r="D348" s="13" t="s">
        <v>41</v>
      </c>
      <c r="E348" s="11" t="s">
        <v>34</v>
      </c>
      <c r="F348" s="11" t="s">
        <v>46</v>
      </c>
      <c r="G348" s="14">
        <v>0</v>
      </c>
      <c r="H348" s="15">
        <v>0</v>
      </c>
      <c r="I348" s="11">
        <v>3</v>
      </c>
      <c r="J348" s="16">
        <v>1.3888888888888889E-3</v>
      </c>
      <c r="K348" s="11"/>
      <c r="L348" s="11"/>
      <c r="M348" s="11" t="s">
        <v>32</v>
      </c>
      <c r="N348" s="11" t="s">
        <v>39</v>
      </c>
      <c r="O348" s="11" t="s">
        <v>40</v>
      </c>
    </row>
    <row r="349" spans="2:15" ht="21" customHeight="1" x14ac:dyDescent="0.3">
      <c r="B349" s="4" t="s">
        <v>74</v>
      </c>
      <c r="C349" s="5">
        <v>4</v>
      </c>
      <c r="D349" s="6" t="s">
        <v>73</v>
      </c>
      <c r="E349" s="4" t="s">
        <v>42</v>
      </c>
      <c r="F349" s="4" t="s">
        <v>72</v>
      </c>
      <c r="G349" s="7">
        <v>0</v>
      </c>
      <c r="H349" s="1">
        <v>0</v>
      </c>
      <c r="I349" s="4">
        <v>4</v>
      </c>
      <c r="J349" s="8">
        <v>1.3888888888888889E-3</v>
      </c>
      <c r="K349" s="4"/>
      <c r="L349" s="4"/>
      <c r="M349" s="4" t="s">
        <v>35</v>
      </c>
      <c r="N349" s="4" t="s">
        <v>36</v>
      </c>
      <c r="O349" s="4" t="s">
        <v>58</v>
      </c>
    </row>
    <row r="350" spans="2:15" ht="21" customHeight="1" x14ac:dyDescent="0.3">
      <c r="B350" s="11" t="s">
        <v>74</v>
      </c>
      <c r="C350" s="12">
        <v>28</v>
      </c>
      <c r="D350" s="13" t="s">
        <v>73</v>
      </c>
      <c r="E350" s="11" t="s">
        <v>42</v>
      </c>
      <c r="F350" s="11" t="s">
        <v>49</v>
      </c>
      <c r="G350" s="14">
        <v>0</v>
      </c>
      <c r="H350" s="15">
        <v>0</v>
      </c>
      <c r="I350" s="11">
        <v>2</v>
      </c>
      <c r="J350" s="16">
        <v>1.3888888888888889E-3</v>
      </c>
      <c r="K350" s="11"/>
      <c r="L350" s="11"/>
      <c r="M350" s="11" t="s">
        <v>35</v>
      </c>
      <c r="N350" s="11" t="s">
        <v>27</v>
      </c>
      <c r="O350" s="11" t="s">
        <v>33</v>
      </c>
    </row>
    <row r="351" spans="2:15" ht="21" customHeight="1" x14ac:dyDescent="0.3">
      <c r="B351" s="4" t="s">
        <v>74</v>
      </c>
      <c r="C351" s="5">
        <v>10</v>
      </c>
      <c r="D351" s="6" t="s">
        <v>73</v>
      </c>
      <c r="E351" s="4" t="s">
        <v>16</v>
      </c>
      <c r="F351" s="4" t="s">
        <v>24</v>
      </c>
      <c r="G351" s="7">
        <v>0</v>
      </c>
      <c r="H351" s="1">
        <v>0</v>
      </c>
      <c r="I351" s="4">
        <v>1</v>
      </c>
      <c r="J351" s="8">
        <v>1.3888888888888889E-3</v>
      </c>
      <c r="K351" s="4"/>
      <c r="L351" s="4"/>
      <c r="M351" s="4" t="s">
        <v>44</v>
      </c>
      <c r="N351" s="4" t="s">
        <v>27</v>
      </c>
      <c r="O351" s="4" t="s">
        <v>28</v>
      </c>
    </row>
    <row r="352" spans="2:15" ht="21" customHeight="1" x14ac:dyDescent="0.3">
      <c r="B352" s="11" t="s">
        <v>74</v>
      </c>
      <c r="C352" s="12">
        <v>30</v>
      </c>
      <c r="D352" s="13" t="s">
        <v>73</v>
      </c>
      <c r="E352" s="11" t="s">
        <v>42</v>
      </c>
      <c r="F352" s="11" t="s">
        <v>24</v>
      </c>
      <c r="G352" s="14">
        <v>0</v>
      </c>
      <c r="H352" s="15">
        <v>0</v>
      </c>
      <c r="I352" s="11">
        <v>2</v>
      </c>
      <c r="J352" s="16">
        <v>1.3888888888888889E-3</v>
      </c>
      <c r="K352" s="11"/>
      <c r="L352" s="11"/>
      <c r="M352" s="11" t="s">
        <v>20</v>
      </c>
      <c r="N352" s="11" t="s">
        <v>21</v>
      </c>
      <c r="O352" s="11" t="s">
        <v>66</v>
      </c>
    </row>
    <row r="353" spans="2:15" ht="21" customHeight="1" x14ac:dyDescent="0.3">
      <c r="B353" s="4" t="s">
        <v>74</v>
      </c>
      <c r="C353" s="5">
        <v>6</v>
      </c>
      <c r="D353" s="6" t="s">
        <v>59</v>
      </c>
      <c r="E353" s="4" t="s">
        <v>16</v>
      </c>
      <c r="F353" s="4" t="s">
        <v>17</v>
      </c>
      <c r="G353" s="7">
        <v>0</v>
      </c>
      <c r="H353" s="1">
        <v>0</v>
      </c>
      <c r="I353" s="4">
        <v>4</v>
      </c>
      <c r="J353" s="8">
        <v>1.3888888888888889E-3</v>
      </c>
      <c r="K353" s="4"/>
      <c r="L353" s="4"/>
      <c r="M353" s="4" t="s">
        <v>55</v>
      </c>
      <c r="N353" s="4" t="s">
        <v>21</v>
      </c>
      <c r="O353" s="4" t="s">
        <v>57</v>
      </c>
    </row>
    <row r="354" spans="2:15" ht="21" customHeight="1" x14ac:dyDescent="0.3">
      <c r="B354" s="11" t="s">
        <v>74</v>
      </c>
      <c r="C354" s="12">
        <v>28</v>
      </c>
      <c r="D354" s="13" t="s">
        <v>63</v>
      </c>
      <c r="E354" s="11" t="s">
        <v>42</v>
      </c>
      <c r="F354" s="11" t="s">
        <v>17</v>
      </c>
      <c r="G354" s="14">
        <v>0</v>
      </c>
      <c r="H354" s="15">
        <v>0</v>
      </c>
      <c r="I354" s="11">
        <v>1</v>
      </c>
      <c r="J354" s="16">
        <v>1.3888888888888889E-3</v>
      </c>
      <c r="K354" s="11"/>
      <c r="L354" s="11"/>
      <c r="M354" s="11" t="s">
        <v>52</v>
      </c>
      <c r="N354" s="11" t="s">
        <v>21</v>
      </c>
      <c r="O354" s="11" t="s">
        <v>45</v>
      </c>
    </row>
    <row r="355" spans="2:15" ht="21" customHeight="1" x14ac:dyDescent="0.3">
      <c r="B355" s="4" t="s">
        <v>14</v>
      </c>
      <c r="C355" s="5">
        <v>4</v>
      </c>
      <c r="D355" s="6" t="s">
        <v>15</v>
      </c>
      <c r="E355" s="4" t="s">
        <v>30</v>
      </c>
      <c r="F355" s="4" t="s">
        <v>46</v>
      </c>
      <c r="G355" s="7">
        <v>5</v>
      </c>
      <c r="H355" s="1">
        <v>20000000</v>
      </c>
      <c r="I355" s="4">
        <v>1</v>
      </c>
      <c r="J355" s="8">
        <v>1.3888888888888889E-3</v>
      </c>
      <c r="K355" s="4" t="s">
        <v>18</v>
      </c>
      <c r="L355" s="4" t="s">
        <v>38</v>
      </c>
      <c r="M355" s="4" t="s">
        <v>55</v>
      </c>
      <c r="N355" s="4" t="s">
        <v>36</v>
      </c>
      <c r="O355" s="4" t="s">
        <v>58</v>
      </c>
    </row>
    <row r="356" spans="2:15" ht="21" customHeight="1" x14ac:dyDescent="0.3">
      <c r="B356" s="11" t="s">
        <v>14</v>
      </c>
      <c r="C356" s="12">
        <v>6</v>
      </c>
      <c r="D356" s="13" t="s">
        <v>63</v>
      </c>
      <c r="E356" s="11" t="s">
        <v>30</v>
      </c>
      <c r="F356" s="11" t="s">
        <v>72</v>
      </c>
      <c r="G356" s="14">
        <v>2</v>
      </c>
      <c r="H356" s="15">
        <v>12000000</v>
      </c>
      <c r="I356" s="11">
        <v>1</v>
      </c>
      <c r="J356" s="16">
        <v>1.3888888888888889E-3</v>
      </c>
      <c r="K356" s="11" t="s">
        <v>18</v>
      </c>
      <c r="L356" s="11" t="s">
        <v>38</v>
      </c>
      <c r="M356" s="11" t="s">
        <v>35</v>
      </c>
      <c r="N356" s="11" t="s">
        <v>27</v>
      </c>
      <c r="O356" s="11" t="s">
        <v>56</v>
      </c>
    </row>
    <row r="357" spans="2:15" ht="21" customHeight="1" x14ac:dyDescent="0.3">
      <c r="B357" s="4" t="s">
        <v>14</v>
      </c>
      <c r="C357" s="5">
        <v>12</v>
      </c>
      <c r="D357" s="6" t="s">
        <v>64</v>
      </c>
      <c r="E357" s="4" t="s">
        <v>34</v>
      </c>
      <c r="F357" s="4" t="s">
        <v>49</v>
      </c>
      <c r="G357" s="7">
        <v>2</v>
      </c>
      <c r="H357" s="1">
        <v>12000000</v>
      </c>
      <c r="I357" s="4">
        <v>5</v>
      </c>
      <c r="J357" s="8">
        <v>1.3888888888888889E-3</v>
      </c>
      <c r="K357" s="4" t="s">
        <v>18</v>
      </c>
      <c r="L357" s="4" t="s">
        <v>43</v>
      </c>
      <c r="M357" s="4" t="s">
        <v>32</v>
      </c>
      <c r="N357" s="4" t="s">
        <v>39</v>
      </c>
      <c r="O357" s="4" t="s">
        <v>71</v>
      </c>
    </row>
    <row r="358" spans="2:15" ht="21" customHeight="1" x14ac:dyDescent="0.3">
      <c r="B358" s="11" t="s">
        <v>14</v>
      </c>
      <c r="C358" s="12">
        <v>11</v>
      </c>
      <c r="D358" s="13" t="s">
        <v>23</v>
      </c>
      <c r="E358" s="11" t="s">
        <v>42</v>
      </c>
      <c r="F358" s="11" t="s">
        <v>46</v>
      </c>
      <c r="G358" s="14">
        <v>2</v>
      </c>
      <c r="H358" s="15">
        <v>12000000</v>
      </c>
      <c r="I358" s="11">
        <v>1</v>
      </c>
      <c r="J358" s="16">
        <v>1.3888888888888889E-3</v>
      </c>
      <c r="K358" s="11" t="s">
        <v>18</v>
      </c>
      <c r="L358" s="11" t="s">
        <v>25</v>
      </c>
      <c r="M358" s="11" t="s">
        <v>47</v>
      </c>
      <c r="N358" s="11" t="s">
        <v>27</v>
      </c>
      <c r="O358" s="11" t="s">
        <v>28</v>
      </c>
    </row>
    <row r="359" spans="2:15" ht="21" customHeight="1" x14ac:dyDescent="0.3">
      <c r="B359" s="4" t="s">
        <v>14</v>
      </c>
      <c r="C359" s="5">
        <v>2</v>
      </c>
      <c r="D359" s="6" t="s">
        <v>41</v>
      </c>
      <c r="E359" s="4" t="s">
        <v>16</v>
      </c>
      <c r="F359" s="4" t="s">
        <v>24</v>
      </c>
      <c r="G359" s="7">
        <v>3</v>
      </c>
      <c r="H359" s="1">
        <v>15000000</v>
      </c>
      <c r="I359" s="4">
        <v>1</v>
      </c>
      <c r="J359" s="8">
        <v>1.3888888888888889E-3</v>
      </c>
      <c r="K359" s="4" t="s">
        <v>18</v>
      </c>
      <c r="L359" s="4" t="s">
        <v>43</v>
      </c>
      <c r="M359" s="4" t="s">
        <v>20</v>
      </c>
      <c r="N359" s="4" t="s">
        <v>21</v>
      </c>
      <c r="O359" s="4" t="s">
        <v>70</v>
      </c>
    </row>
    <row r="360" spans="2:15" ht="21" customHeight="1" x14ac:dyDescent="0.3">
      <c r="B360" s="11" t="s">
        <v>14</v>
      </c>
      <c r="C360" s="12">
        <v>8</v>
      </c>
      <c r="D360" s="13" t="s">
        <v>41</v>
      </c>
      <c r="E360" s="11" t="s">
        <v>16</v>
      </c>
      <c r="F360" s="11" t="s">
        <v>46</v>
      </c>
      <c r="G360" s="14">
        <v>3</v>
      </c>
      <c r="H360" s="15">
        <v>15000000</v>
      </c>
      <c r="I360" s="11">
        <v>4</v>
      </c>
      <c r="J360" s="16">
        <v>1.3888888888888889E-3</v>
      </c>
      <c r="K360" s="11" t="s">
        <v>18</v>
      </c>
      <c r="L360" s="11" t="s">
        <v>51</v>
      </c>
      <c r="M360" s="11" t="s">
        <v>55</v>
      </c>
      <c r="N360" s="11" t="s">
        <v>36</v>
      </c>
      <c r="O360" s="11" t="s">
        <v>58</v>
      </c>
    </row>
    <row r="361" spans="2:15" ht="21" customHeight="1" x14ac:dyDescent="0.3">
      <c r="B361" s="4" t="s">
        <v>14</v>
      </c>
      <c r="C361" s="5">
        <v>17</v>
      </c>
      <c r="D361" s="6" t="s">
        <v>48</v>
      </c>
      <c r="E361" s="4" t="s">
        <v>34</v>
      </c>
      <c r="F361" s="4" t="s">
        <v>24</v>
      </c>
      <c r="G361" s="7">
        <v>4</v>
      </c>
      <c r="H361" s="1">
        <v>11000000</v>
      </c>
      <c r="I361" s="4">
        <v>2</v>
      </c>
      <c r="J361" s="8">
        <v>1.3888888888888889E-3</v>
      </c>
      <c r="K361" s="4" t="s">
        <v>65</v>
      </c>
      <c r="L361" s="4" t="s">
        <v>19</v>
      </c>
      <c r="M361" s="4" t="s">
        <v>55</v>
      </c>
      <c r="N361" s="4" t="s">
        <v>21</v>
      </c>
      <c r="O361" s="4" t="s">
        <v>22</v>
      </c>
    </row>
    <row r="362" spans="2:15" ht="21" customHeight="1" x14ac:dyDescent="0.3">
      <c r="B362" s="11" t="s">
        <v>14</v>
      </c>
      <c r="C362" s="12">
        <v>10</v>
      </c>
      <c r="D362" s="13" t="s">
        <v>73</v>
      </c>
      <c r="E362" s="11" t="s">
        <v>34</v>
      </c>
      <c r="F362" s="11" t="s">
        <v>24</v>
      </c>
      <c r="G362" s="14">
        <v>4</v>
      </c>
      <c r="H362" s="15">
        <v>20000000</v>
      </c>
      <c r="I362" s="11">
        <v>1</v>
      </c>
      <c r="J362" s="16">
        <v>1.3888888888888889E-3</v>
      </c>
      <c r="K362" s="11" t="s">
        <v>18</v>
      </c>
      <c r="L362" s="11" t="s">
        <v>19</v>
      </c>
      <c r="M362" s="11" t="s">
        <v>52</v>
      </c>
      <c r="N362" s="11" t="s">
        <v>39</v>
      </c>
      <c r="O362" s="11" t="s">
        <v>71</v>
      </c>
    </row>
    <row r="363" spans="2:15" ht="21" customHeight="1" x14ac:dyDescent="0.3">
      <c r="B363" s="4" t="s">
        <v>14</v>
      </c>
      <c r="C363" s="5">
        <v>17</v>
      </c>
      <c r="D363" s="6" t="s">
        <v>73</v>
      </c>
      <c r="E363" s="4" t="s">
        <v>53</v>
      </c>
      <c r="F363" s="4" t="s">
        <v>17</v>
      </c>
      <c r="G363" s="7">
        <v>1</v>
      </c>
      <c r="H363" s="1">
        <v>7000000</v>
      </c>
      <c r="I363" s="4">
        <v>5</v>
      </c>
      <c r="J363" s="8">
        <v>1.3888888888888889E-3</v>
      </c>
      <c r="K363" s="4" t="s">
        <v>18</v>
      </c>
      <c r="L363" s="4" t="s">
        <v>68</v>
      </c>
      <c r="M363" s="4" t="s">
        <v>52</v>
      </c>
      <c r="N363" s="4" t="s">
        <v>39</v>
      </c>
      <c r="O363" s="4" t="s">
        <v>40</v>
      </c>
    </row>
    <row r="364" spans="2:15" ht="21" customHeight="1" x14ac:dyDescent="0.3">
      <c r="B364" s="11" t="s">
        <v>14</v>
      </c>
      <c r="C364" s="12">
        <v>4</v>
      </c>
      <c r="D364" s="13" t="s">
        <v>15</v>
      </c>
      <c r="E364" s="11" t="s">
        <v>30</v>
      </c>
      <c r="F364" s="11" t="s">
        <v>46</v>
      </c>
      <c r="G364" s="14">
        <v>5</v>
      </c>
      <c r="H364" s="15">
        <v>20000000</v>
      </c>
      <c r="I364" s="11">
        <v>1</v>
      </c>
      <c r="J364" s="16">
        <v>1.3888888888888889E-3</v>
      </c>
      <c r="K364" s="11" t="s">
        <v>18</v>
      </c>
      <c r="L364" s="11" t="s">
        <v>38</v>
      </c>
      <c r="M364" s="11" t="s">
        <v>55</v>
      </c>
      <c r="N364" s="11" t="s">
        <v>36</v>
      </c>
      <c r="O364" s="11" t="s">
        <v>58</v>
      </c>
    </row>
    <row r="365" spans="2:15" ht="21" customHeight="1" x14ac:dyDescent="0.3">
      <c r="B365" s="4" t="s">
        <v>14</v>
      </c>
      <c r="C365" s="5">
        <v>6</v>
      </c>
      <c r="D365" s="6" t="s">
        <v>63</v>
      </c>
      <c r="E365" s="4" t="s">
        <v>30</v>
      </c>
      <c r="F365" s="4" t="s">
        <v>72</v>
      </c>
      <c r="G365" s="7">
        <v>2</v>
      </c>
      <c r="H365" s="1">
        <v>12000000</v>
      </c>
      <c r="I365" s="4">
        <v>1</v>
      </c>
      <c r="J365" s="8">
        <v>1.3888888888888889E-3</v>
      </c>
      <c r="K365" s="4" t="s">
        <v>18</v>
      </c>
      <c r="L365" s="4" t="s">
        <v>38</v>
      </c>
      <c r="M365" s="4" t="s">
        <v>35</v>
      </c>
      <c r="N365" s="4" t="s">
        <v>27</v>
      </c>
      <c r="O365" s="4" t="s">
        <v>56</v>
      </c>
    </row>
    <row r="366" spans="2:15" ht="21" customHeight="1" x14ac:dyDescent="0.3">
      <c r="B366" s="11" t="s">
        <v>14</v>
      </c>
      <c r="C366" s="12">
        <v>12</v>
      </c>
      <c r="D366" s="13" t="s">
        <v>64</v>
      </c>
      <c r="E366" s="11" t="s">
        <v>34</v>
      </c>
      <c r="F366" s="11" t="s">
        <v>49</v>
      </c>
      <c r="G366" s="14">
        <v>2</v>
      </c>
      <c r="H366" s="15">
        <v>12000000</v>
      </c>
      <c r="I366" s="11">
        <v>5</v>
      </c>
      <c r="J366" s="16">
        <v>1.3888888888888889E-3</v>
      </c>
      <c r="K366" s="11" t="s">
        <v>18</v>
      </c>
      <c r="L366" s="11" t="s">
        <v>43</v>
      </c>
      <c r="M366" s="11" t="s">
        <v>32</v>
      </c>
      <c r="N366" s="11" t="s">
        <v>39</v>
      </c>
      <c r="O366" s="11" t="s">
        <v>71</v>
      </c>
    </row>
    <row r="367" spans="2:15" ht="21" customHeight="1" x14ac:dyDescent="0.3">
      <c r="B367" s="4" t="s">
        <v>74</v>
      </c>
      <c r="C367" s="5">
        <v>2</v>
      </c>
      <c r="D367" s="6" t="s">
        <v>63</v>
      </c>
      <c r="E367" s="4" t="s">
        <v>16</v>
      </c>
      <c r="F367" s="4" t="s">
        <v>46</v>
      </c>
      <c r="G367" s="7">
        <v>0</v>
      </c>
      <c r="H367" s="1">
        <v>0</v>
      </c>
      <c r="I367" s="4">
        <v>1</v>
      </c>
      <c r="J367" s="8">
        <v>1.3888888888888889E-3</v>
      </c>
      <c r="K367" s="4"/>
      <c r="L367" s="4"/>
      <c r="M367" s="4" t="s">
        <v>26</v>
      </c>
      <c r="N367" s="4" t="s">
        <v>36</v>
      </c>
      <c r="O367" s="4" t="s">
        <v>69</v>
      </c>
    </row>
    <row r="368" spans="2:15" ht="21" customHeight="1" x14ac:dyDescent="0.3">
      <c r="B368" s="11" t="s">
        <v>74</v>
      </c>
      <c r="C368" s="12">
        <v>30</v>
      </c>
      <c r="D368" s="13" t="s">
        <v>29</v>
      </c>
      <c r="E368" s="11" t="s">
        <v>16</v>
      </c>
      <c r="F368" s="11" t="s">
        <v>24</v>
      </c>
      <c r="G368" s="14">
        <v>0</v>
      </c>
      <c r="H368" s="15">
        <v>0</v>
      </c>
      <c r="I368" s="11">
        <v>2</v>
      </c>
      <c r="J368" s="16">
        <v>1.3888888888888889E-3</v>
      </c>
      <c r="K368" s="11"/>
      <c r="L368" s="11"/>
      <c r="M368" s="11" t="s">
        <v>47</v>
      </c>
      <c r="N368" s="11" t="s">
        <v>27</v>
      </c>
      <c r="O368" s="11" t="s">
        <v>33</v>
      </c>
    </row>
    <row r="369" spans="2:15" ht="21" customHeight="1" x14ac:dyDescent="0.3">
      <c r="B369" s="4" t="s">
        <v>74</v>
      </c>
      <c r="C369" s="5">
        <v>8</v>
      </c>
      <c r="D369" s="6" t="s">
        <v>41</v>
      </c>
      <c r="E369" s="4" t="s">
        <v>42</v>
      </c>
      <c r="F369" s="4" t="s">
        <v>24</v>
      </c>
      <c r="G369" s="7">
        <v>0</v>
      </c>
      <c r="H369" s="1">
        <v>0</v>
      </c>
      <c r="I369" s="4">
        <v>1</v>
      </c>
      <c r="J369" s="8">
        <v>1.3888888888888889E-3</v>
      </c>
      <c r="K369" s="4"/>
      <c r="L369" s="4"/>
      <c r="M369" s="4" t="s">
        <v>32</v>
      </c>
      <c r="N369" s="4" t="s">
        <v>21</v>
      </c>
      <c r="O369" s="4" t="s">
        <v>66</v>
      </c>
    </row>
    <row r="370" spans="2:15" ht="21" customHeight="1" x14ac:dyDescent="0.3">
      <c r="B370" s="11" t="s">
        <v>74</v>
      </c>
      <c r="C370" s="12">
        <v>20</v>
      </c>
      <c r="D370" s="13" t="s">
        <v>48</v>
      </c>
      <c r="E370" s="11" t="s">
        <v>34</v>
      </c>
      <c r="F370" s="11" t="s">
        <v>17</v>
      </c>
      <c r="G370" s="14">
        <v>0</v>
      </c>
      <c r="H370" s="15">
        <v>0</v>
      </c>
      <c r="I370" s="11">
        <v>2</v>
      </c>
      <c r="J370" s="16">
        <v>1.3888888888888889E-3</v>
      </c>
      <c r="K370" s="11"/>
      <c r="L370" s="11"/>
      <c r="M370" s="11" t="s">
        <v>35</v>
      </c>
      <c r="N370" s="11" t="s">
        <v>21</v>
      </c>
      <c r="O370" s="11" t="s">
        <v>66</v>
      </c>
    </row>
    <row r="371" spans="2:15" ht="21" customHeight="1" x14ac:dyDescent="0.3">
      <c r="B371" s="4" t="s">
        <v>74</v>
      </c>
      <c r="C371" s="5">
        <v>2</v>
      </c>
      <c r="D371" s="6" t="s">
        <v>63</v>
      </c>
      <c r="E371" s="4" t="s">
        <v>16</v>
      </c>
      <c r="F371" s="4" t="s">
        <v>46</v>
      </c>
      <c r="G371" s="7">
        <v>0</v>
      </c>
      <c r="H371" s="1">
        <v>0</v>
      </c>
      <c r="I371" s="4">
        <v>1</v>
      </c>
      <c r="J371" s="8">
        <v>1.3888888888888889E-3</v>
      </c>
      <c r="K371" s="4"/>
      <c r="L371" s="4"/>
      <c r="M371" s="4" t="s">
        <v>26</v>
      </c>
      <c r="N371" s="4" t="s">
        <v>36</v>
      </c>
      <c r="O371" s="4" t="s">
        <v>69</v>
      </c>
    </row>
    <row r="372" spans="2:15" ht="21" customHeight="1" x14ac:dyDescent="0.3">
      <c r="B372" s="11" t="s">
        <v>14</v>
      </c>
      <c r="C372" s="12">
        <v>10</v>
      </c>
      <c r="D372" s="13" t="s">
        <v>59</v>
      </c>
      <c r="E372" s="11" t="s">
        <v>34</v>
      </c>
      <c r="F372" s="11" t="s">
        <v>46</v>
      </c>
      <c r="G372" s="14">
        <v>2</v>
      </c>
      <c r="H372" s="15">
        <v>12000000</v>
      </c>
      <c r="I372" s="11">
        <v>1</v>
      </c>
      <c r="J372" s="16">
        <v>1.3888888888888889E-3</v>
      </c>
      <c r="K372" s="11" t="s">
        <v>18</v>
      </c>
      <c r="L372" s="11" t="s">
        <v>19</v>
      </c>
      <c r="M372" s="11" t="s">
        <v>20</v>
      </c>
      <c r="N372" s="11" t="s">
        <v>36</v>
      </c>
      <c r="O372" s="11" t="s">
        <v>37</v>
      </c>
    </row>
    <row r="373" spans="2:15" ht="21" customHeight="1" x14ac:dyDescent="0.3">
      <c r="B373" s="4" t="s">
        <v>14</v>
      </c>
      <c r="C373" s="5">
        <v>1</v>
      </c>
      <c r="D373" s="6" t="s">
        <v>59</v>
      </c>
      <c r="E373" s="4" t="s">
        <v>34</v>
      </c>
      <c r="F373" s="4" t="s">
        <v>46</v>
      </c>
      <c r="G373" s="7">
        <v>3</v>
      </c>
      <c r="H373" s="1">
        <v>11000000</v>
      </c>
      <c r="I373" s="4">
        <v>2</v>
      </c>
      <c r="J373" s="8">
        <v>1.3888888888888889E-3</v>
      </c>
      <c r="K373" s="4" t="s">
        <v>18</v>
      </c>
      <c r="L373" s="4" t="s">
        <v>68</v>
      </c>
      <c r="M373" s="4" t="s">
        <v>20</v>
      </c>
      <c r="N373" s="4" t="s">
        <v>21</v>
      </c>
      <c r="O373" s="4" t="s">
        <v>67</v>
      </c>
    </row>
    <row r="374" spans="2:15" ht="21" customHeight="1" x14ac:dyDescent="0.3">
      <c r="B374" s="11" t="s">
        <v>14</v>
      </c>
      <c r="C374" s="12">
        <v>11</v>
      </c>
      <c r="D374" s="13" t="s">
        <v>61</v>
      </c>
      <c r="E374" s="11" t="s">
        <v>16</v>
      </c>
      <c r="F374" s="11" t="s">
        <v>17</v>
      </c>
      <c r="G374" s="14">
        <v>2</v>
      </c>
      <c r="H374" s="15">
        <v>10000000</v>
      </c>
      <c r="I374" s="11">
        <v>2</v>
      </c>
      <c r="J374" s="16">
        <v>1.3888888888888889E-3</v>
      </c>
      <c r="K374" s="11" t="s">
        <v>18</v>
      </c>
      <c r="L374" s="11" t="s">
        <v>60</v>
      </c>
      <c r="M374" s="11" t="s">
        <v>52</v>
      </c>
      <c r="N374" s="11" t="s">
        <v>39</v>
      </c>
      <c r="O374" s="11" t="s">
        <v>40</v>
      </c>
    </row>
    <row r="375" spans="2:15" ht="21" customHeight="1" x14ac:dyDescent="0.3">
      <c r="B375" s="4" t="s">
        <v>14</v>
      </c>
      <c r="C375" s="5">
        <v>3</v>
      </c>
      <c r="D375" s="6" t="s">
        <v>63</v>
      </c>
      <c r="E375" s="4" t="s">
        <v>53</v>
      </c>
      <c r="F375" s="4" t="s">
        <v>46</v>
      </c>
      <c r="G375" s="7">
        <v>2</v>
      </c>
      <c r="H375" s="1">
        <v>38000000</v>
      </c>
      <c r="I375" s="4">
        <v>1</v>
      </c>
      <c r="J375" s="8">
        <v>1.3888888888888889E-3</v>
      </c>
      <c r="K375" s="4" t="s">
        <v>50</v>
      </c>
      <c r="L375" s="4" t="s">
        <v>19</v>
      </c>
      <c r="M375" s="4" t="s">
        <v>32</v>
      </c>
      <c r="N375" s="4" t="s">
        <v>36</v>
      </c>
      <c r="O375" s="4" t="s">
        <v>69</v>
      </c>
    </row>
    <row r="376" spans="2:15" ht="21" customHeight="1" x14ac:dyDescent="0.3">
      <c r="B376" s="11" t="s">
        <v>14</v>
      </c>
      <c r="C376" s="12">
        <v>20</v>
      </c>
      <c r="D376" s="13" t="s">
        <v>76</v>
      </c>
      <c r="E376" s="11" t="s">
        <v>30</v>
      </c>
      <c r="F376" s="11" t="s">
        <v>46</v>
      </c>
      <c r="G376" s="14">
        <v>1</v>
      </c>
      <c r="H376" s="15">
        <v>19000000</v>
      </c>
      <c r="I376" s="11">
        <v>5</v>
      </c>
      <c r="J376" s="16">
        <v>1.3888888888888889E-3</v>
      </c>
      <c r="K376" s="11" t="s">
        <v>50</v>
      </c>
      <c r="L376" s="11" t="s">
        <v>31</v>
      </c>
      <c r="M376" s="11" t="s">
        <v>47</v>
      </c>
      <c r="N376" s="11" t="s">
        <v>39</v>
      </c>
      <c r="O376" s="11" t="s">
        <v>71</v>
      </c>
    </row>
    <row r="377" spans="2:15" ht="21" customHeight="1" x14ac:dyDescent="0.3">
      <c r="B377" s="4" t="s">
        <v>14</v>
      </c>
      <c r="C377" s="5">
        <v>11</v>
      </c>
      <c r="D377" s="6" t="s">
        <v>23</v>
      </c>
      <c r="E377" s="4" t="s">
        <v>16</v>
      </c>
      <c r="F377" s="4" t="s">
        <v>46</v>
      </c>
      <c r="G377" s="7">
        <v>3</v>
      </c>
      <c r="H377" s="1">
        <v>15000000</v>
      </c>
      <c r="I377" s="4">
        <v>4</v>
      </c>
      <c r="J377" s="8">
        <v>1.3888888888888889E-3</v>
      </c>
      <c r="K377" s="4" t="s">
        <v>18</v>
      </c>
      <c r="L377" s="4" t="s">
        <v>31</v>
      </c>
      <c r="M377" s="4" t="s">
        <v>55</v>
      </c>
      <c r="N377" s="4" t="s">
        <v>39</v>
      </c>
      <c r="O377" s="4" t="s">
        <v>71</v>
      </c>
    </row>
    <row r="378" spans="2:15" ht="21" customHeight="1" x14ac:dyDescent="0.3">
      <c r="B378" s="11" t="s">
        <v>14</v>
      </c>
      <c r="C378" s="12">
        <v>28</v>
      </c>
      <c r="D378" s="13" t="s">
        <v>29</v>
      </c>
      <c r="E378" s="11" t="s">
        <v>34</v>
      </c>
      <c r="F378" s="11" t="s">
        <v>24</v>
      </c>
      <c r="G378" s="14">
        <v>1</v>
      </c>
      <c r="H378" s="15">
        <v>19000000</v>
      </c>
      <c r="I378" s="11">
        <v>4</v>
      </c>
      <c r="J378" s="16">
        <v>1.3888888888888889E-3</v>
      </c>
      <c r="K378" s="11" t="s">
        <v>78</v>
      </c>
      <c r="L378" s="11" t="s">
        <v>38</v>
      </c>
      <c r="M378" s="11" t="s">
        <v>47</v>
      </c>
      <c r="N378" s="11" t="s">
        <v>39</v>
      </c>
      <c r="O378" s="11" t="s">
        <v>40</v>
      </c>
    </row>
    <row r="379" spans="2:15" ht="21" customHeight="1" x14ac:dyDescent="0.3">
      <c r="B379" s="4" t="s">
        <v>14</v>
      </c>
      <c r="C379" s="5">
        <v>30</v>
      </c>
      <c r="D379" s="6" t="s">
        <v>29</v>
      </c>
      <c r="E379" s="4" t="s">
        <v>34</v>
      </c>
      <c r="F379" s="4" t="s">
        <v>46</v>
      </c>
      <c r="G379" s="7">
        <v>2</v>
      </c>
      <c r="H379" s="1">
        <v>38000000</v>
      </c>
      <c r="I379" s="4">
        <v>1</v>
      </c>
      <c r="J379" s="8">
        <v>1.3888888888888889E-3</v>
      </c>
      <c r="K379" s="4" t="s">
        <v>50</v>
      </c>
      <c r="L379" s="4" t="s">
        <v>43</v>
      </c>
      <c r="M379" s="4" t="s">
        <v>32</v>
      </c>
      <c r="N379" s="4" t="s">
        <v>36</v>
      </c>
      <c r="O379" s="4" t="s">
        <v>58</v>
      </c>
    </row>
    <row r="380" spans="2:15" ht="21" customHeight="1" x14ac:dyDescent="0.3">
      <c r="B380" s="11" t="s">
        <v>14</v>
      </c>
      <c r="C380" s="12">
        <v>11</v>
      </c>
      <c r="D380" s="13" t="s">
        <v>29</v>
      </c>
      <c r="E380" s="11" t="s">
        <v>34</v>
      </c>
      <c r="F380" s="11" t="s">
        <v>46</v>
      </c>
      <c r="G380" s="14">
        <v>5</v>
      </c>
      <c r="H380" s="15">
        <v>25000000</v>
      </c>
      <c r="I380" s="11">
        <v>2</v>
      </c>
      <c r="J380" s="16">
        <v>1.3888888888888889E-3</v>
      </c>
      <c r="K380" s="11" t="s">
        <v>18</v>
      </c>
      <c r="L380" s="11" t="s">
        <v>31</v>
      </c>
      <c r="M380" s="11" t="s">
        <v>32</v>
      </c>
      <c r="N380" s="11" t="s">
        <v>27</v>
      </c>
      <c r="O380" s="11" t="s">
        <v>79</v>
      </c>
    </row>
    <row r="381" spans="2:15" ht="21" customHeight="1" x14ac:dyDescent="0.3">
      <c r="B381" s="4" t="s">
        <v>14</v>
      </c>
      <c r="C381" s="5">
        <v>12</v>
      </c>
      <c r="D381" s="6" t="s">
        <v>29</v>
      </c>
      <c r="E381" s="4" t="s">
        <v>34</v>
      </c>
      <c r="F381" s="4" t="s">
        <v>46</v>
      </c>
      <c r="G381" s="7">
        <v>5</v>
      </c>
      <c r="H381" s="1">
        <v>25000000</v>
      </c>
      <c r="I381" s="4">
        <v>5</v>
      </c>
      <c r="J381" s="8">
        <v>1.3888888888888889E-3</v>
      </c>
      <c r="K381" s="4" t="s">
        <v>18</v>
      </c>
      <c r="L381" s="4" t="s">
        <v>60</v>
      </c>
      <c r="M381" s="4" t="s">
        <v>32</v>
      </c>
      <c r="N381" s="4" t="s">
        <v>21</v>
      </c>
      <c r="O381" s="4" t="s">
        <v>67</v>
      </c>
    </row>
    <row r="382" spans="2:15" ht="21" customHeight="1" x14ac:dyDescent="0.3">
      <c r="B382" s="11" t="s">
        <v>14</v>
      </c>
      <c r="C382" s="12">
        <v>17</v>
      </c>
      <c r="D382" s="13" t="s">
        <v>29</v>
      </c>
      <c r="E382" s="11" t="s">
        <v>30</v>
      </c>
      <c r="F382" s="11" t="s">
        <v>46</v>
      </c>
      <c r="G382" s="14">
        <v>2</v>
      </c>
      <c r="H382" s="15">
        <v>12000000</v>
      </c>
      <c r="I382" s="11">
        <v>4</v>
      </c>
      <c r="J382" s="16">
        <v>1.3888888888888889E-3</v>
      </c>
      <c r="K382" s="11" t="s">
        <v>18</v>
      </c>
      <c r="L382" s="11" t="s">
        <v>43</v>
      </c>
      <c r="M382" s="11" t="s">
        <v>52</v>
      </c>
      <c r="N382" s="11" t="s">
        <v>36</v>
      </c>
      <c r="O382" s="11" t="s">
        <v>58</v>
      </c>
    </row>
    <row r="383" spans="2:15" ht="21" customHeight="1" x14ac:dyDescent="0.3">
      <c r="B383" s="4" t="s">
        <v>14</v>
      </c>
      <c r="C383" s="5">
        <v>29</v>
      </c>
      <c r="D383" s="6" t="s">
        <v>29</v>
      </c>
      <c r="E383" s="4" t="s">
        <v>34</v>
      </c>
      <c r="F383" s="4" t="s">
        <v>24</v>
      </c>
      <c r="G383" s="7">
        <v>4</v>
      </c>
      <c r="H383" s="1">
        <v>15000000</v>
      </c>
      <c r="I383" s="4">
        <v>3</v>
      </c>
      <c r="J383" s="8">
        <v>1.3888888888888889E-3</v>
      </c>
      <c r="K383" s="4" t="s">
        <v>18</v>
      </c>
      <c r="L383" s="4" t="s">
        <v>25</v>
      </c>
      <c r="M383" s="4" t="s">
        <v>55</v>
      </c>
      <c r="N383" s="4" t="s">
        <v>21</v>
      </c>
      <c r="O383" s="4" t="s">
        <v>57</v>
      </c>
    </row>
    <row r="384" spans="2:15" ht="21" customHeight="1" x14ac:dyDescent="0.3">
      <c r="B384" s="11" t="s">
        <v>14</v>
      </c>
      <c r="C384" s="12">
        <v>8</v>
      </c>
      <c r="D384" s="13" t="s">
        <v>41</v>
      </c>
      <c r="E384" s="11" t="s">
        <v>30</v>
      </c>
      <c r="F384" s="11" t="s">
        <v>24</v>
      </c>
      <c r="G384" s="14">
        <v>1</v>
      </c>
      <c r="H384" s="15">
        <v>7000000</v>
      </c>
      <c r="I384" s="11">
        <v>1</v>
      </c>
      <c r="J384" s="16">
        <v>1.3888888888888889E-3</v>
      </c>
      <c r="K384" s="11" t="s">
        <v>18</v>
      </c>
      <c r="L384" s="11" t="s">
        <v>60</v>
      </c>
      <c r="M384" s="11" t="s">
        <v>52</v>
      </c>
      <c r="N384" s="11" t="s">
        <v>21</v>
      </c>
      <c r="O384" s="11" t="s">
        <v>45</v>
      </c>
    </row>
    <row r="385" spans="2:15" ht="21" customHeight="1" x14ac:dyDescent="0.3">
      <c r="B385" s="4" t="s">
        <v>14</v>
      </c>
      <c r="C385" s="5">
        <v>27</v>
      </c>
      <c r="D385" s="6" t="s">
        <v>41</v>
      </c>
      <c r="E385" s="4" t="s">
        <v>42</v>
      </c>
      <c r="F385" s="4" t="s">
        <v>24</v>
      </c>
      <c r="G385" s="7">
        <v>1</v>
      </c>
      <c r="H385" s="1">
        <v>7000000</v>
      </c>
      <c r="I385" s="4">
        <v>1</v>
      </c>
      <c r="J385" s="8">
        <v>1.3888888888888889E-3</v>
      </c>
      <c r="K385" s="4" t="s">
        <v>18</v>
      </c>
      <c r="L385" s="4" t="s">
        <v>19</v>
      </c>
      <c r="M385" s="4" t="s">
        <v>26</v>
      </c>
      <c r="N385" s="4" t="s">
        <v>36</v>
      </c>
      <c r="O385" s="4" t="s">
        <v>58</v>
      </c>
    </row>
    <row r="386" spans="2:15" ht="21" customHeight="1" x14ac:dyDescent="0.3">
      <c r="B386" s="11" t="s">
        <v>14</v>
      </c>
      <c r="C386" s="12">
        <v>2</v>
      </c>
      <c r="D386" s="13" t="s">
        <v>48</v>
      </c>
      <c r="E386" s="11" t="s">
        <v>42</v>
      </c>
      <c r="F386" s="11" t="s">
        <v>24</v>
      </c>
      <c r="G386" s="14">
        <v>4</v>
      </c>
      <c r="H386" s="15">
        <v>20000000</v>
      </c>
      <c r="I386" s="11">
        <v>1</v>
      </c>
      <c r="J386" s="16">
        <v>1.3888888888888889E-3</v>
      </c>
      <c r="K386" s="11" t="s">
        <v>65</v>
      </c>
      <c r="L386" s="11" t="s">
        <v>25</v>
      </c>
      <c r="M386" s="11" t="s">
        <v>44</v>
      </c>
      <c r="N386" s="11" t="s">
        <v>27</v>
      </c>
      <c r="O386" s="11" t="s">
        <v>56</v>
      </c>
    </row>
    <row r="387" spans="2:15" ht="21" customHeight="1" x14ac:dyDescent="0.3">
      <c r="B387" s="4" t="s">
        <v>14</v>
      </c>
      <c r="C387" s="5">
        <v>1</v>
      </c>
      <c r="D387" s="6" t="s">
        <v>48</v>
      </c>
      <c r="E387" s="4" t="s">
        <v>30</v>
      </c>
      <c r="F387" s="4" t="s">
        <v>49</v>
      </c>
      <c r="G387" s="7">
        <v>4</v>
      </c>
      <c r="H387" s="1">
        <v>20000000</v>
      </c>
      <c r="I387" s="4">
        <v>1</v>
      </c>
      <c r="J387" s="8">
        <v>1.3888888888888889E-3</v>
      </c>
      <c r="K387" s="4" t="s">
        <v>18</v>
      </c>
      <c r="L387" s="4" t="s">
        <v>51</v>
      </c>
      <c r="M387" s="4" t="s">
        <v>55</v>
      </c>
      <c r="N387" s="4" t="s">
        <v>21</v>
      </c>
      <c r="O387" s="4" t="s">
        <v>45</v>
      </c>
    </row>
    <row r="388" spans="2:15" ht="21" customHeight="1" x14ac:dyDescent="0.3">
      <c r="B388" s="11" t="s">
        <v>14</v>
      </c>
      <c r="C388" s="12">
        <v>31</v>
      </c>
      <c r="D388" s="13" t="s">
        <v>73</v>
      </c>
      <c r="E388" s="11" t="s">
        <v>53</v>
      </c>
      <c r="F388" s="11" t="s">
        <v>46</v>
      </c>
      <c r="G388" s="14">
        <v>3</v>
      </c>
      <c r="H388" s="15">
        <v>12000000</v>
      </c>
      <c r="I388" s="11">
        <v>1</v>
      </c>
      <c r="J388" s="16">
        <v>1.3888888888888889E-3</v>
      </c>
      <c r="K388" s="11" t="s">
        <v>18</v>
      </c>
      <c r="L388" s="11" t="s">
        <v>19</v>
      </c>
      <c r="M388" s="11" t="s">
        <v>35</v>
      </c>
      <c r="N388" s="11" t="s">
        <v>21</v>
      </c>
      <c r="O388" s="11" t="s">
        <v>57</v>
      </c>
    </row>
    <row r="389" spans="2:15" ht="21" customHeight="1" x14ac:dyDescent="0.3">
      <c r="B389" s="4" t="s">
        <v>14</v>
      </c>
      <c r="C389" s="5">
        <v>30</v>
      </c>
      <c r="D389" s="6" t="s">
        <v>73</v>
      </c>
      <c r="E389" s="4" t="s">
        <v>30</v>
      </c>
      <c r="F389" s="4" t="s">
        <v>24</v>
      </c>
      <c r="G389" s="7">
        <v>2</v>
      </c>
      <c r="H389" s="1">
        <v>12000000</v>
      </c>
      <c r="I389" s="4">
        <v>1</v>
      </c>
      <c r="J389" s="8">
        <v>1.3888888888888889E-3</v>
      </c>
      <c r="K389" s="4" t="s">
        <v>18</v>
      </c>
      <c r="L389" s="4" t="s">
        <v>19</v>
      </c>
      <c r="M389" s="4" t="s">
        <v>55</v>
      </c>
      <c r="N389" s="4" t="s">
        <v>21</v>
      </c>
      <c r="O389" s="4" t="s">
        <v>67</v>
      </c>
    </row>
    <row r="390" spans="2:15" ht="21" customHeight="1" x14ac:dyDescent="0.3">
      <c r="B390" s="11" t="s">
        <v>14</v>
      </c>
      <c r="C390" s="12">
        <v>10</v>
      </c>
      <c r="D390" s="13" t="s">
        <v>59</v>
      </c>
      <c r="E390" s="11" t="s">
        <v>34</v>
      </c>
      <c r="F390" s="11" t="s">
        <v>46</v>
      </c>
      <c r="G390" s="14">
        <v>2</v>
      </c>
      <c r="H390" s="15">
        <v>12000000</v>
      </c>
      <c r="I390" s="11">
        <v>1</v>
      </c>
      <c r="J390" s="16">
        <v>1.3888888888888889E-3</v>
      </c>
      <c r="K390" s="11" t="s">
        <v>18</v>
      </c>
      <c r="L390" s="11" t="s">
        <v>19</v>
      </c>
      <c r="M390" s="11" t="s">
        <v>20</v>
      </c>
      <c r="N390" s="11" t="s">
        <v>36</v>
      </c>
      <c r="O390" s="11" t="s">
        <v>37</v>
      </c>
    </row>
    <row r="391" spans="2:15" ht="21" customHeight="1" x14ac:dyDescent="0.3">
      <c r="B391" s="4" t="s">
        <v>14</v>
      </c>
      <c r="C391" s="5">
        <v>1</v>
      </c>
      <c r="D391" s="6" t="s">
        <v>59</v>
      </c>
      <c r="E391" s="4" t="s">
        <v>34</v>
      </c>
      <c r="F391" s="4" t="s">
        <v>46</v>
      </c>
      <c r="G391" s="7">
        <v>3</v>
      </c>
      <c r="H391" s="1">
        <v>11000000</v>
      </c>
      <c r="I391" s="4">
        <v>2</v>
      </c>
      <c r="J391" s="8">
        <v>1.3888888888888889E-3</v>
      </c>
      <c r="K391" s="4" t="s">
        <v>18</v>
      </c>
      <c r="L391" s="4" t="s">
        <v>68</v>
      </c>
      <c r="M391" s="4" t="s">
        <v>20</v>
      </c>
      <c r="N391" s="4" t="s">
        <v>21</v>
      </c>
      <c r="O391" s="4" t="s">
        <v>67</v>
      </c>
    </row>
    <row r="392" spans="2:15" ht="21" customHeight="1" x14ac:dyDescent="0.3">
      <c r="B392" s="11" t="s">
        <v>14</v>
      </c>
      <c r="C392" s="12">
        <v>11</v>
      </c>
      <c r="D392" s="13" t="s">
        <v>61</v>
      </c>
      <c r="E392" s="11" t="s">
        <v>16</v>
      </c>
      <c r="F392" s="11" t="s">
        <v>17</v>
      </c>
      <c r="G392" s="14">
        <v>2</v>
      </c>
      <c r="H392" s="15">
        <v>10000000</v>
      </c>
      <c r="I392" s="11">
        <v>2</v>
      </c>
      <c r="J392" s="16">
        <v>1.3888888888888889E-3</v>
      </c>
      <c r="K392" s="11" t="s">
        <v>18</v>
      </c>
      <c r="L392" s="11" t="s">
        <v>60</v>
      </c>
      <c r="M392" s="11" t="s">
        <v>52</v>
      </c>
      <c r="N392" s="11" t="s">
        <v>39</v>
      </c>
      <c r="O392" s="11" t="s">
        <v>40</v>
      </c>
    </row>
    <row r="393" spans="2:15" ht="21" customHeight="1" x14ac:dyDescent="0.3">
      <c r="B393" s="4" t="s">
        <v>14</v>
      </c>
      <c r="C393" s="5">
        <v>3</v>
      </c>
      <c r="D393" s="6" t="s">
        <v>63</v>
      </c>
      <c r="E393" s="4" t="s">
        <v>53</v>
      </c>
      <c r="F393" s="4" t="s">
        <v>46</v>
      </c>
      <c r="G393" s="7">
        <v>2</v>
      </c>
      <c r="H393" s="1">
        <v>38000000</v>
      </c>
      <c r="I393" s="4">
        <v>1</v>
      </c>
      <c r="J393" s="8">
        <v>1.3888888888888889E-3</v>
      </c>
      <c r="K393" s="4" t="s">
        <v>50</v>
      </c>
      <c r="L393" s="4" t="s">
        <v>19</v>
      </c>
      <c r="M393" s="4" t="s">
        <v>32</v>
      </c>
      <c r="N393" s="4" t="s">
        <v>36</v>
      </c>
      <c r="O393" s="4" t="s">
        <v>69</v>
      </c>
    </row>
    <row r="394" spans="2:15" ht="21" customHeight="1" x14ac:dyDescent="0.3">
      <c r="B394" s="11" t="s">
        <v>14</v>
      </c>
      <c r="C394" s="12">
        <v>20</v>
      </c>
      <c r="D394" s="13" t="s">
        <v>76</v>
      </c>
      <c r="E394" s="11" t="s">
        <v>30</v>
      </c>
      <c r="F394" s="11" t="s">
        <v>46</v>
      </c>
      <c r="G394" s="14">
        <v>1</v>
      </c>
      <c r="H394" s="15">
        <v>19000000</v>
      </c>
      <c r="I394" s="11">
        <v>5</v>
      </c>
      <c r="J394" s="16">
        <v>1.3888888888888889E-3</v>
      </c>
      <c r="K394" s="11" t="s">
        <v>50</v>
      </c>
      <c r="L394" s="11" t="s">
        <v>31</v>
      </c>
      <c r="M394" s="11" t="s">
        <v>47</v>
      </c>
      <c r="N394" s="11" t="s">
        <v>39</v>
      </c>
      <c r="O394" s="11" t="s">
        <v>71</v>
      </c>
    </row>
    <row r="395" spans="2:15" ht="21" customHeight="1" x14ac:dyDescent="0.3">
      <c r="B395" s="4" t="s">
        <v>14</v>
      </c>
      <c r="C395" s="5">
        <v>11</v>
      </c>
      <c r="D395" s="6" t="s">
        <v>23</v>
      </c>
      <c r="E395" s="4" t="s">
        <v>16</v>
      </c>
      <c r="F395" s="4" t="s">
        <v>46</v>
      </c>
      <c r="G395" s="7">
        <v>3</v>
      </c>
      <c r="H395" s="1">
        <v>15000000</v>
      </c>
      <c r="I395" s="4">
        <v>4</v>
      </c>
      <c r="J395" s="8">
        <v>1.3888888888888889E-3</v>
      </c>
      <c r="K395" s="4" t="s">
        <v>18</v>
      </c>
      <c r="L395" s="4" t="s">
        <v>31</v>
      </c>
      <c r="M395" s="4" t="s">
        <v>55</v>
      </c>
      <c r="N395" s="4" t="s">
        <v>39</v>
      </c>
      <c r="O395" s="4" t="s">
        <v>71</v>
      </c>
    </row>
    <row r="396" spans="2:15" ht="21" customHeight="1" x14ac:dyDescent="0.3">
      <c r="B396" s="11" t="s">
        <v>74</v>
      </c>
      <c r="C396" s="12">
        <v>5</v>
      </c>
      <c r="D396" s="13" t="s">
        <v>15</v>
      </c>
      <c r="E396" s="11" t="s">
        <v>34</v>
      </c>
      <c r="F396" s="11" t="s">
        <v>17</v>
      </c>
      <c r="G396" s="14">
        <v>0</v>
      </c>
      <c r="H396" s="15">
        <v>0</v>
      </c>
      <c r="I396" s="11">
        <v>2</v>
      </c>
      <c r="J396" s="16">
        <v>1.3888888888888889E-3</v>
      </c>
      <c r="K396" s="11"/>
      <c r="L396" s="11"/>
      <c r="M396" s="11" t="s">
        <v>52</v>
      </c>
      <c r="N396" s="11" t="s">
        <v>27</v>
      </c>
      <c r="O396" s="11" t="s">
        <v>56</v>
      </c>
    </row>
    <row r="397" spans="2:15" ht="21" customHeight="1" x14ac:dyDescent="0.3">
      <c r="B397" s="4" t="s">
        <v>74</v>
      </c>
      <c r="C397" s="5">
        <v>22</v>
      </c>
      <c r="D397" s="6" t="s">
        <v>41</v>
      </c>
      <c r="E397" s="4" t="s">
        <v>34</v>
      </c>
      <c r="F397" s="4" t="s">
        <v>17</v>
      </c>
      <c r="G397" s="7">
        <v>0</v>
      </c>
      <c r="H397" s="1">
        <v>0</v>
      </c>
      <c r="I397" s="4">
        <v>1</v>
      </c>
      <c r="J397" s="8">
        <v>1.3888888888888889E-3</v>
      </c>
      <c r="K397" s="4"/>
      <c r="L397" s="4"/>
      <c r="M397" s="4" t="s">
        <v>47</v>
      </c>
      <c r="N397" s="4" t="s">
        <v>27</v>
      </c>
      <c r="O397" s="4" t="s">
        <v>33</v>
      </c>
    </row>
    <row r="398" spans="2:15" ht="21" customHeight="1" x14ac:dyDescent="0.3">
      <c r="B398" s="11" t="s">
        <v>74</v>
      </c>
      <c r="C398" s="12">
        <v>26</v>
      </c>
      <c r="D398" s="13" t="s">
        <v>41</v>
      </c>
      <c r="E398" s="11" t="s">
        <v>30</v>
      </c>
      <c r="F398" s="11" t="s">
        <v>46</v>
      </c>
      <c r="G398" s="14">
        <v>0</v>
      </c>
      <c r="H398" s="15">
        <v>0</v>
      </c>
      <c r="I398" s="11">
        <v>1</v>
      </c>
      <c r="J398" s="16">
        <v>1.3888888888888889E-3</v>
      </c>
      <c r="K398" s="11"/>
      <c r="L398" s="11"/>
      <c r="M398" s="11" t="s">
        <v>44</v>
      </c>
      <c r="N398" s="11" t="s">
        <v>21</v>
      </c>
      <c r="O398" s="11" t="s">
        <v>45</v>
      </c>
    </row>
    <row r="399" spans="2:15" ht="21" customHeight="1" x14ac:dyDescent="0.3">
      <c r="B399" s="4" t="s">
        <v>74</v>
      </c>
      <c r="C399" s="5">
        <v>8</v>
      </c>
      <c r="D399" s="6" t="s">
        <v>41</v>
      </c>
      <c r="E399" s="4" t="s">
        <v>34</v>
      </c>
      <c r="F399" s="4" t="s">
        <v>24</v>
      </c>
      <c r="G399" s="7">
        <v>0</v>
      </c>
      <c r="H399" s="1">
        <v>0</v>
      </c>
      <c r="I399" s="4">
        <v>5</v>
      </c>
      <c r="J399" s="8">
        <v>1.3888888888888889E-3</v>
      </c>
      <c r="K399" s="4"/>
      <c r="L399" s="4"/>
      <c r="M399" s="4" t="s">
        <v>52</v>
      </c>
      <c r="N399" s="4" t="s">
        <v>21</v>
      </c>
      <c r="O399" s="4" t="s">
        <v>67</v>
      </c>
    </row>
    <row r="400" spans="2:15" ht="21" customHeight="1" x14ac:dyDescent="0.3">
      <c r="B400" s="11" t="s">
        <v>74</v>
      </c>
      <c r="C400" s="12">
        <v>17</v>
      </c>
      <c r="D400" s="13" t="s">
        <v>48</v>
      </c>
      <c r="E400" s="11" t="s">
        <v>16</v>
      </c>
      <c r="F400" s="11" t="s">
        <v>46</v>
      </c>
      <c r="G400" s="14">
        <v>0</v>
      </c>
      <c r="H400" s="15">
        <v>0</v>
      </c>
      <c r="I400" s="11">
        <v>4</v>
      </c>
      <c r="J400" s="16">
        <v>1.3888888888888889E-3</v>
      </c>
      <c r="K400" s="11"/>
      <c r="L400" s="11"/>
      <c r="M400" s="11" t="s">
        <v>52</v>
      </c>
      <c r="N400" s="11" t="s">
        <v>39</v>
      </c>
      <c r="O400" s="11" t="s">
        <v>71</v>
      </c>
    </row>
    <row r="401" spans="2:15" ht="21" customHeight="1" x14ac:dyDescent="0.3">
      <c r="B401" s="4" t="s">
        <v>74</v>
      </c>
      <c r="C401" s="5">
        <v>11</v>
      </c>
      <c r="D401" s="6" t="s">
        <v>73</v>
      </c>
      <c r="E401" s="4" t="s">
        <v>30</v>
      </c>
      <c r="F401" s="4" t="s">
        <v>24</v>
      </c>
      <c r="G401" s="7">
        <v>0</v>
      </c>
      <c r="H401" s="1">
        <v>0</v>
      </c>
      <c r="I401" s="4">
        <v>2</v>
      </c>
      <c r="J401" s="8">
        <v>1.3888888888888889E-3</v>
      </c>
      <c r="K401" s="4"/>
      <c r="L401" s="4"/>
      <c r="M401" s="4" t="s">
        <v>55</v>
      </c>
      <c r="N401" s="4" t="s">
        <v>27</v>
      </c>
      <c r="O401" s="4" t="s">
        <v>56</v>
      </c>
    </row>
    <row r="402" spans="2:15" ht="21" customHeight="1" x14ac:dyDescent="0.3">
      <c r="B402" s="11" t="s">
        <v>74</v>
      </c>
      <c r="C402" s="12">
        <v>22</v>
      </c>
      <c r="D402" s="13" t="s">
        <v>73</v>
      </c>
      <c r="E402" s="11" t="s">
        <v>16</v>
      </c>
      <c r="F402" s="11" t="s">
        <v>49</v>
      </c>
      <c r="G402" s="14">
        <v>0</v>
      </c>
      <c r="H402" s="15">
        <v>0</v>
      </c>
      <c r="I402" s="11">
        <v>2</v>
      </c>
      <c r="J402" s="16">
        <v>1.3888888888888889E-3</v>
      </c>
      <c r="K402" s="11"/>
      <c r="L402" s="11"/>
      <c r="M402" s="11" t="s">
        <v>35</v>
      </c>
      <c r="N402" s="11" t="s">
        <v>27</v>
      </c>
      <c r="O402" s="11" t="s">
        <v>79</v>
      </c>
    </row>
    <row r="403" spans="2:15" ht="21" customHeight="1" x14ac:dyDescent="0.3">
      <c r="B403" s="4" t="s">
        <v>74</v>
      </c>
      <c r="C403" s="5">
        <v>1</v>
      </c>
      <c r="D403" s="6" t="s">
        <v>73</v>
      </c>
      <c r="E403" s="4" t="s">
        <v>30</v>
      </c>
      <c r="F403" s="4" t="s">
        <v>24</v>
      </c>
      <c r="G403" s="7">
        <v>0</v>
      </c>
      <c r="H403" s="1">
        <v>0</v>
      </c>
      <c r="I403" s="4">
        <v>3</v>
      </c>
      <c r="J403" s="8">
        <v>1.3888888888888889E-3</v>
      </c>
      <c r="K403" s="4"/>
      <c r="L403" s="4"/>
      <c r="M403" s="4" t="s">
        <v>20</v>
      </c>
      <c r="N403" s="4" t="s">
        <v>21</v>
      </c>
      <c r="O403" s="4" t="s">
        <v>57</v>
      </c>
    </row>
    <row r="404" spans="2:15" ht="21" customHeight="1" x14ac:dyDescent="0.3">
      <c r="B404" s="11" t="s">
        <v>74</v>
      </c>
      <c r="C404" s="12">
        <v>5</v>
      </c>
      <c r="D404" s="13" t="s">
        <v>15</v>
      </c>
      <c r="E404" s="11" t="s">
        <v>34</v>
      </c>
      <c r="F404" s="11" t="s">
        <v>17</v>
      </c>
      <c r="G404" s="14">
        <v>0</v>
      </c>
      <c r="H404" s="15">
        <v>0</v>
      </c>
      <c r="I404" s="11">
        <v>2</v>
      </c>
      <c r="J404" s="16">
        <v>1.3888888888888889E-3</v>
      </c>
      <c r="K404" s="11"/>
      <c r="L404" s="11"/>
      <c r="M404" s="11" t="s">
        <v>52</v>
      </c>
      <c r="N404" s="11" t="s">
        <v>27</v>
      </c>
      <c r="O404" s="11" t="s">
        <v>56</v>
      </c>
    </row>
    <row r="405" spans="2:15" ht="21" customHeight="1" x14ac:dyDescent="0.3">
      <c r="B405" s="4" t="s">
        <v>14</v>
      </c>
      <c r="C405" s="5">
        <v>11</v>
      </c>
      <c r="D405" s="6" t="s">
        <v>61</v>
      </c>
      <c r="E405" s="4" t="s">
        <v>16</v>
      </c>
      <c r="F405" s="4" t="s">
        <v>17</v>
      </c>
      <c r="G405" s="7">
        <v>2</v>
      </c>
      <c r="H405" s="1">
        <v>12000000</v>
      </c>
      <c r="I405" s="4">
        <v>3</v>
      </c>
      <c r="J405" s="8">
        <v>1.5046296296296294E-3</v>
      </c>
      <c r="K405" s="4" t="s">
        <v>18</v>
      </c>
      <c r="L405" s="4" t="s">
        <v>60</v>
      </c>
      <c r="M405" s="4" t="s">
        <v>52</v>
      </c>
      <c r="N405" s="4" t="s">
        <v>21</v>
      </c>
      <c r="O405" s="4" t="s">
        <v>67</v>
      </c>
    </row>
    <row r="406" spans="2:15" ht="21" customHeight="1" x14ac:dyDescent="0.3">
      <c r="B406" s="11" t="s">
        <v>14</v>
      </c>
      <c r="C406" s="12">
        <v>28</v>
      </c>
      <c r="D406" s="13" t="s">
        <v>76</v>
      </c>
      <c r="E406" s="11" t="s">
        <v>53</v>
      </c>
      <c r="F406" s="11" t="s">
        <v>46</v>
      </c>
      <c r="G406" s="14">
        <v>2</v>
      </c>
      <c r="H406" s="15">
        <v>12000000</v>
      </c>
      <c r="I406" s="11">
        <v>1</v>
      </c>
      <c r="J406" s="16">
        <v>1.5046296296296294E-3</v>
      </c>
      <c r="K406" s="11" t="s">
        <v>18</v>
      </c>
      <c r="L406" s="11" t="s">
        <v>19</v>
      </c>
      <c r="M406" s="11" t="s">
        <v>52</v>
      </c>
      <c r="N406" s="11" t="s">
        <v>36</v>
      </c>
      <c r="O406" s="11" t="s">
        <v>58</v>
      </c>
    </row>
    <row r="407" spans="2:15" ht="21" customHeight="1" x14ac:dyDescent="0.3">
      <c r="B407" s="4" t="s">
        <v>14</v>
      </c>
      <c r="C407" s="5">
        <v>12</v>
      </c>
      <c r="D407" s="6" t="s">
        <v>23</v>
      </c>
      <c r="E407" s="4" t="s">
        <v>30</v>
      </c>
      <c r="F407" s="4" t="s">
        <v>24</v>
      </c>
      <c r="G407" s="7">
        <v>2</v>
      </c>
      <c r="H407" s="1">
        <v>38000000</v>
      </c>
      <c r="I407" s="4">
        <v>4</v>
      </c>
      <c r="J407" s="8">
        <v>1.5046296296296294E-3</v>
      </c>
      <c r="K407" s="4" t="s">
        <v>50</v>
      </c>
      <c r="L407" s="4" t="s">
        <v>38</v>
      </c>
      <c r="M407" s="4" t="s">
        <v>35</v>
      </c>
      <c r="N407" s="4" t="s">
        <v>27</v>
      </c>
      <c r="O407" s="4" t="s">
        <v>56</v>
      </c>
    </row>
    <row r="408" spans="2:15" ht="21" customHeight="1" x14ac:dyDescent="0.3">
      <c r="B408" s="11" t="s">
        <v>14</v>
      </c>
      <c r="C408" s="12">
        <v>30</v>
      </c>
      <c r="D408" s="13" t="s">
        <v>29</v>
      </c>
      <c r="E408" s="11" t="s">
        <v>77</v>
      </c>
      <c r="F408" s="11" t="s">
        <v>46</v>
      </c>
      <c r="G408" s="14">
        <v>2</v>
      </c>
      <c r="H408" s="15">
        <v>12000000</v>
      </c>
      <c r="I408" s="11">
        <v>5</v>
      </c>
      <c r="J408" s="16">
        <v>1.5046296296296294E-3</v>
      </c>
      <c r="K408" s="11" t="s">
        <v>18</v>
      </c>
      <c r="L408" s="11" t="s">
        <v>43</v>
      </c>
      <c r="M408" s="11" t="s">
        <v>32</v>
      </c>
      <c r="N408" s="11" t="s">
        <v>27</v>
      </c>
      <c r="O408" s="11" t="s">
        <v>56</v>
      </c>
    </row>
    <row r="409" spans="2:15" ht="21" customHeight="1" x14ac:dyDescent="0.3">
      <c r="B409" s="4" t="s">
        <v>14</v>
      </c>
      <c r="C409" s="5">
        <v>14</v>
      </c>
      <c r="D409" s="6" t="s">
        <v>29</v>
      </c>
      <c r="E409" s="4" t="s">
        <v>77</v>
      </c>
      <c r="F409" s="4" t="s">
        <v>46</v>
      </c>
      <c r="G409" s="7">
        <v>1</v>
      </c>
      <c r="H409" s="1">
        <v>7000000</v>
      </c>
      <c r="I409" s="4">
        <v>1</v>
      </c>
      <c r="J409" s="8">
        <v>1.5046296296296294E-3</v>
      </c>
      <c r="K409" s="4" t="s">
        <v>18</v>
      </c>
      <c r="L409" s="4" t="s">
        <v>51</v>
      </c>
      <c r="M409" s="4" t="s">
        <v>26</v>
      </c>
      <c r="N409" s="4" t="s">
        <v>27</v>
      </c>
      <c r="O409" s="4" t="s">
        <v>33</v>
      </c>
    </row>
    <row r="410" spans="2:15" ht="21" customHeight="1" x14ac:dyDescent="0.3">
      <c r="B410" s="11" t="s">
        <v>14</v>
      </c>
      <c r="C410" s="12">
        <v>26</v>
      </c>
      <c r="D410" s="13" t="s">
        <v>29</v>
      </c>
      <c r="E410" s="11" t="s">
        <v>53</v>
      </c>
      <c r="F410" s="11" t="s">
        <v>24</v>
      </c>
      <c r="G410" s="14">
        <v>4</v>
      </c>
      <c r="H410" s="15">
        <v>20000000</v>
      </c>
      <c r="I410" s="11">
        <v>2</v>
      </c>
      <c r="J410" s="16">
        <v>1.5046296296296294E-3</v>
      </c>
      <c r="K410" s="11" t="s">
        <v>18</v>
      </c>
      <c r="L410" s="11" t="s">
        <v>60</v>
      </c>
      <c r="M410" s="11" t="s">
        <v>55</v>
      </c>
      <c r="N410" s="11" t="s">
        <v>21</v>
      </c>
      <c r="O410" s="11" t="s">
        <v>67</v>
      </c>
    </row>
    <row r="411" spans="2:15" ht="21" customHeight="1" x14ac:dyDescent="0.3">
      <c r="B411" s="4" t="s">
        <v>14</v>
      </c>
      <c r="C411" s="5">
        <v>5</v>
      </c>
      <c r="D411" s="6" t="s">
        <v>41</v>
      </c>
      <c r="E411" s="4" t="s">
        <v>30</v>
      </c>
      <c r="F411" s="4" t="s">
        <v>46</v>
      </c>
      <c r="G411" s="7">
        <v>1</v>
      </c>
      <c r="H411" s="1">
        <v>19000000</v>
      </c>
      <c r="I411" s="4">
        <v>1</v>
      </c>
      <c r="J411" s="8">
        <v>1.5046296296296294E-3</v>
      </c>
      <c r="K411" s="4" t="s">
        <v>50</v>
      </c>
      <c r="L411" s="4" t="s">
        <v>43</v>
      </c>
      <c r="M411" s="4" t="s">
        <v>47</v>
      </c>
      <c r="N411" s="4" t="s">
        <v>21</v>
      </c>
      <c r="O411" s="4" t="s">
        <v>67</v>
      </c>
    </row>
    <row r="412" spans="2:15" ht="21" customHeight="1" x14ac:dyDescent="0.3">
      <c r="B412" s="11" t="s">
        <v>14</v>
      </c>
      <c r="C412" s="12">
        <v>29</v>
      </c>
      <c r="D412" s="13" t="s">
        <v>41</v>
      </c>
      <c r="E412" s="11" t="s">
        <v>30</v>
      </c>
      <c r="F412" s="11" t="s">
        <v>24</v>
      </c>
      <c r="G412" s="14">
        <v>3</v>
      </c>
      <c r="H412" s="15">
        <v>15000000</v>
      </c>
      <c r="I412" s="11">
        <v>3</v>
      </c>
      <c r="J412" s="16">
        <v>1.5046296296296294E-3</v>
      </c>
      <c r="K412" s="11" t="s">
        <v>18</v>
      </c>
      <c r="L412" s="11" t="s">
        <v>68</v>
      </c>
      <c r="M412" s="11" t="s">
        <v>44</v>
      </c>
      <c r="N412" s="11" t="s">
        <v>39</v>
      </c>
      <c r="O412" s="11" t="s">
        <v>71</v>
      </c>
    </row>
    <row r="413" spans="2:15" ht="21" customHeight="1" x14ac:dyDescent="0.3">
      <c r="B413" s="4" t="s">
        <v>14</v>
      </c>
      <c r="C413" s="5">
        <v>2</v>
      </c>
      <c r="D413" s="6" t="s">
        <v>48</v>
      </c>
      <c r="E413" s="4" t="s">
        <v>16</v>
      </c>
      <c r="F413" s="4" t="s">
        <v>46</v>
      </c>
      <c r="G413" s="7">
        <v>4</v>
      </c>
      <c r="H413" s="1">
        <v>20000000</v>
      </c>
      <c r="I413" s="4">
        <v>4</v>
      </c>
      <c r="J413" s="8">
        <v>1.5046296296296294E-3</v>
      </c>
      <c r="K413" s="4" t="s">
        <v>65</v>
      </c>
      <c r="L413" s="4" t="s">
        <v>51</v>
      </c>
      <c r="M413" s="4" t="s">
        <v>44</v>
      </c>
      <c r="N413" s="4" t="s">
        <v>27</v>
      </c>
      <c r="O413" s="4" t="s">
        <v>56</v>
      </c>
    </row>
    <row r="414" spans="2:15" ht="21" customHeight="1" x14ac:dyDescent="0.3">
      <c r="B414" s="11" t="s">
        <v>14</v>
      </c>
      <c r="C414" s="12">
        <v>25</v>
      </c>
      <c r="D414" s="13" t="s">
        <v>48</v>
      </c>
      <c r="E414" s="11" t="s">
        <v>16</v>
      </c>
      <c r="F414" s="11" t="s">
        <v>17</v>
      </c>
      <c r="G414" s="14">
        <v>5</v>
      </c>
      <c r="H414" s="15">
        <v>25000000</v>
      </c>
      <c r="I414" s="11">
        <v>4</v>
      </c>
      <c r="J414" s="16">
        <v>1.5046296296296294E-3</v>
      </c>
      <c r="K414" s="11" t="s">
        <v>18</v>
      </c>
      <c r="L414" s="11" t="s">
        <v>19</v>
      </c>
      <c r="M414" s="11" t="s">
        <v>52</v>
      </c>
      <c r="N414" s="11" t="s">
        <v>21</v>
      </c>
      <c r="O414" s="11" t="s">
        <v>57</v>
      </c>
    </row>
    <row r="415" spans="2:15" ht="21" customHeight="1" x14ac:dyDescent="0.3">
      <c r="B415" s="4" t="s">
        <v>14</v>
      </c>
      <c r="C415" s="5">
        <v>17</v>
      </c>
      <c r="D415" s="6" t="s">
        <v>48</v>
      </c>
      <c r="E415" s="4" t="s">
        <v>34</v>
      </c>
      <c r="F415" s="4" t="s">
        <v>17</v>
      </c>
      <c r="G415" s="7">
        <v>5</v>
      </c>
      <c r="H415" s="1">
        <v>21000000</v>
      </c>
      <c r="I415" s="4">
        <v>1</v>
      </c>
      <c r="J415" s="8">
        <v>1.5046296296296294E-3</v>
      </c>
      <c r="K415" s="4" t="s">
        <v>18</v>
      </c>
      <c r="L415" s="4" t="s">
        <v>68</v>
      </c>
      <c r="M415" s="4" t="s">
        <v>55</v>
      </c>
      <c r="N415" s="4" t="s">
        <v>39</v>
      </c>
      <c r="O415" s="4" t="s">
        <v>40</v>
      </c>
    </row>
    <row r="416" spans="2:15" ht="21" customHeight="1" x14ac:dyDescent="0.3">
      <c r="B416" s="11" t="s">
        <v>14</v>
      </c>
      <c r="C416" s="12">
        <v>11</v>
      </c>
      <c r="D416" s="13" t="s">
        <v>61</v>
      </c>
      <c r="E416" s="11" t="s">
        <v>16</v>
      </c>
      <c r="F416" s="11" t="s">
        <v>17</v>
      </c>
      <c r="G416" s="14">
        <v>2</v>
      </c>
      <c r="H416" s="15">
        <v>12000000</v>
      </c>
      <c r="I416" s="11">
        <v>3</v>
      </c>
      <c r="J416" s="16">
        <v>1.5046296296296294E-3</v>
      </c>
      <c r="K416" s="11" t="s">
        <v>18</v>
      </c>
      <c r="L416" s="11" t="s">
        <v>60</v>
      </c>
      <c r="M416" s="11" t="s">
        <v>52</v>
      </c>
      <c r="N416" s="11" t="s">
        <v>21</v>
      </c>
      <c r="O416" s="11" t="s">
        <v>67</v>
      </c>
    </row>
    <row r="417" spans="2:15" ht="21" customHeight="1" x14ac:dyDescent="0.3">
      <c r="B417" s="4" t="s">
        <v>14</v>
      </c>
      <c r="C417" s="5">
        <v>28</v>
      </c>
      <c r="D417" s="6" t="s">
        <v>76</v>
      </c>
      <c r="E417" s="4" t="s">
        <v>53</v>
      </c>
      <c r="F417" s="4" t="s">
        <v>46</v>
      </c>
      <c r="G417" s="7">
        <v>2</v>
      </c>
      <c r="H417" s="1">
        <v>12000000</v>
      </c>
      <c r="I417" s="4">
        <v>1</v>
      </c>
      <c r="J417" s="8">
        <v>1.5046296296296294E-3</v>
      </c>
      <c r="K417" s="4" t="s">
        <v>18</v>
      </c>
      <c r="L417" s="4" t="s">
        <v>19</v>
      </c>
      <c r="M417" s="4" t="s">
        <v>52</v>
      </c>
      <c r="N417" s="4" t="s">
        <v>36</v>
      </c>
      <c r="O417" s="4" t="s">
        <v>58</v>
      </c>
    </row>
    <row r="418" spans="2:15" ht="21" customHeight="1" x14ac:dyDescent="0.3">
      <c r="B418" s="11" t="s">
        <v>14</v>
      </c>
      <c r="C418" s="12">
        <v>12</v>
      </c>
      <c r="D418" s="13" t="s">
        <v>23</v>
      </c>
      <c r="E418" s="11" t="s">
        <v>30</v>
      </c>
      <c r="F418" s="11" t="s">
        <v>24</v>
      </c>
      <c r="G418" s="14">
        <v>2</v>
      </c>
      <c r="H418" s="15">
        <v>38000000</v>
      </c>
      <c r="I418" s="11">
        <v>4</v>
      </c>
      <c r="J418" s="16">
        <v>1.5046296296296294E-3</v>
      </c>
      <c r="K418" s="11" t="s">
        <v>50</v>
      </c>
      <c r="L418" s="11" t="s">
        <v>38</v>
      </c>
      <c r="M418" s="11" t="s">
        <v>35</v>
      </c>
      <c r="N418" s="11" t="s">
        <v>27</v>
      </c>
      <c r="O418" s="11" t="s">
        <v>56</v>
      </c>
    </row>
    <row r="419" spans="2:15" ht="21" customHeight="1" x14ac:dyDescent="0.3">
      <c r="B419" s="4" t="s">
        <v>74</v>
      </c>
      <c r="C419" s="5">
        <v>30</v>
      </c>
      <c r="D419" s="6" t="s">
        <v>48</v>
      </c>
      <c r="E419" s="4" t="s">
        <v>16</v>
      </c>
      <c r="F419" s="4" t="s">
        <v>49</v>
      </c>
      <c r="G419" s="7">
        <v>0</v>
      </c>
      <c r="H419" s="1">
        <v>0</v>
      </c>
      <c r="I419" s="4">
        <v>2</v>
      </c>
      <c r="J419" s="8">
        <v>1.5046296296296294E-3</v>
      </c>
      <c r="K419" s="4"/>
      <c r="L419" s="4"/>
      <c r="M419" s="4" t="s">
        <v>35</v>
      </c>
      <c r="N419" s="4" t="s">
        <v>39</v>
      </c>
      <c r="O419" s="4" t="s">
        <v>40</v>
      </c>
    </row>
    <row r="420" spans="2:15" ht="21" customHeight="1" x14ac:dyDescent="0.3">
      <c r="B420" s="11" t="s">
        <v>74</v>
      </c>
      <c r="C420" s="12">
        <v>11</v>
      </c>
      <c r="D420" s="13" t="s">
        <v>48</v>
      </c>
      <c r="E420" s="11" t="s">
        <v>42</v>
      </c>
      <c r="F420" s="11" t="s">
        <v>24</v>
      </c>
      <c r="G420" s="14">
        <v>0</v>
      </c>
      <c r="H420" s="15">
        <v>0</v>
      </c>
      <c r="I420" s="11">
        <v>3</v>
      </c>
      <c r="J420" s="16">
        <v>1.5046296296296294E-3</v>
      </c>
      <c r="K420" s="11"/>
      <c r="L420" s="11"/>
      <c r="M420" s="11" t="s">
        <v>20</v>
      </c>
      <c r="N420" s="11" t="s">
        <v>27</v>
      </c>
      <c r="O420" s="11" t="s">
        <v>56</v>
      </c>
    </row>
    <row r="421" spans="2:15" ht="21" customHeight="1" x14ac:dyDescent="0.3">
      <c r="B421" s="4" t="s">
        <v>14</v>
      </c>
      <c r="C421" s="5">
        <v>11</v>
      </c>
      <c r="D421" s="6" t="s">
        <v>59</v>
      </c>
      <c r="E421" s="4" t="s">
        <v>53</v>
      </c>
      <c r="F421" s="4" t="s">
        <v>17</v>
      </c>
      <c r="G421" s="7">
        <v>5</v>
      </c>
      <c r="H421" s="1">
        <v>25000000</v>
      </c>
      <c r="I421" s="4">
        <v>3</v>
      </c>
      <c r="J421" s="8">
        <v>1.5277777777777779E-3</v>
      </c>
      <c r="K421" s="4" t="s">
        <v>18</v>
      </c>
      <c r="L421" s="4" t="s">
        <v>51</v>
      </c>
      <c r="M421" s="4" t="s">
        <v>20</v>
      </c>
      <c r="N421" s="4" t="s">
        <v>39</v>
      </c>
      <c r="O421" s="4" t="s">
        <v>40</v>
      </c>
    </row>
    <row r="422" spans="2:15" ht="21" customHeight="1" x14ac:dyDescent="0.3">
      <c r="B422" s="11" t="s">
        <v>14</v>
      </c>
      <c r="C422" s="12">
        <v>15</v>
      </c>
      <c r="D422" s="13" t="s">
        <v>59</v>
      </c>
      <c r="E422" s="11" t="s">
        <v>34</v>
      </c>
      <c r="F422" s="11" t="s">
        <v>46</v>
      </c>
      <c r="G422" s="14">
        <v>2</v>
      </c>
      <c r="H422" s="15">
        <v>12000000</v>
      </c>
      <c r="I422" s="11">
        <v>1</v>
      </c>
      <c r="J422" s="16">
        <v>1.5277777777777779E-3</v>
      </c>
      <c r="K422" s="11" t="s">
        <v>18</v>
      </c>
      <c r="L422" s="11" t="s">
        <v>31</v>
      </c>
      <c r="M422" s="11" t="s">
        <v>47</v>
      </c>
      <c r="N422" s="11" t="s">
        <v>27</v>
      </c>
      <c r="O422" s="11" t="s">
        <v>33</v>
      </c>
    </row>
    <row r="423" spans="2:15" ht="21" customHeight="1" x14ac:dyDescent="0.3">
      <c r="B423" s="4" t="s">
        <v>14</v>
      </c>
      <c r="C423" s="5">
        <v>14</v>
      </c>
      <c r="D423" s="6" t="s">
        <v>61</v>
      </c>
      <c r="E423" s="4" t="s">
        <v>30</v>
      </c>
      <c r="F423" s="4" t="s">
        <v>24</v>
      </c>
      <c r="G423" s="7">
        <v>2</v>
      </c>
      <c r="H423" s="1">
        <v>12000000</v>
      </c>
      <c r="I423" s="4">
        <v>1</v>
      </c>
      <c r="J423" s="8">
        <v>1.5277777777777779E-3</v>
      </c>
      <c r="K423" s="4" t="s">
        <v>18</v>
      </c>
      <c r="L423" s="4" t="s">
        <v>51</v>
      </c>
      <c r="M423" s="4" t="s">
        <v>32</v>
      </c>
      <c r="N423" s="4" t="s">
        <v>36</v>
      </c>
      <c r="O423" s="4" t="s">
        <v>69</v>
      </c>
    </row>
    <row r="424" spans="2:15" ht="21" customHeight="1" x14ac:dyDescent="0.3">
      <c r="B424" s="11" t="s">
        <v>14</v>
      </c>
      <c r="C424" s="12">
        <v>11</v>
      </c>
      <c r="D424" s="13" t="s">
        <v>61</v>
      </c>
      <c r="E424" s="11" t="s">
        <v>16</v>
      </c>
      <c r="F424" s="11" t="s">
        <v>46</v>
      </c>
      <c r="G424" s="14">
        <v>1</v>
      </c>
      <c r="H424" s="15">
        <v>7000000</v>
      </c>
      <c r="I424" s="11">
        <v>1</v>
      </c>
      <c r="J424" s="16">
        <v>1.5277777777777779E-3</v>
      </c>
      <c r="K424" s="11" t="s">
        <v>18</v>
      </c>
      <c r="L424" s="11" t="s">
        <v>43</v>
      </c>
      <c r="M424" s="11" t="s">
        <v>35</v>
      </c>
      <c r="N424" s="11" t="s">
        <v>27</v>
      </c>
      <c r="O424" s="11" t="s">
        <v>33</v>
      </c>
    </row>
    <row r="425" spans="2:15" ht="21" customHeight="1" x14ac:dyDescent="0.3">
      <c r="B425" s="4" t="s">
        <v>14</v>
      </c>
      <c r="C425" s="5">
        <v>1</v>
      </c>
      <c r="D425" s="6" t="s">
        <v>63</v>
      </c>
      <c r="E425" s="4" t="s">
        <v>30</v>
      </c>
      <c r="F425" s="4" t="s">
        <v>17</v>
      </c>
      <c r="G425" s="7">
        <v>4</v>
      </c>
      <c r="H425" s="1">
        <v>20000000</v>
      </c>
      <c r="I425" s="4">
        <v>2</v>
      </c>
      <c r="J425" s="8">
        <v>1.5277777777777779E-3</v>
      </c>
      <c r="K425" s="4" t="s">
        <v>65</v>
      </c>
      <c r="L425" s="4" t="s">
        <v>31</v>
      </c>
      <c r="M425" s="4" t="s">
        <v>26</v>
      </c>
      <c r="N425" s="4" t="s">
        <v>21</v>
      </c>
      <c r="O425" s="4" t="s">
        <v>57</v>
      </c>
    </row>
    <row r="426" spans="2:15" ht="21" customHeight="1" x14ac:dyDescent="0.3">
      <c r="B426" s="11" t="s">
        <v>14</v>
      </c>
      <c r="C426" s="12">
        <v>7</v>
      </c>
      <c r="D426" s="13" t="s">
        <v>63</v>
      </c>
      <c r="E426" s="11" t="s">
        <v>30</v>
      </c>
      <c r="F426" s="11" t="s">
        <v>46</v>
      </c>
      <c r="G426" s="14">
        <v>3</v>
      </c>
      <c r="H426" s="15">
        <v>15000000</v>
      </c>
      <c r="I426" s="11">
        <v>1</v>
      </c>
      <c r="J426" s="16">
        <v>1.5277777777777779E-3</v>
      </c>
      <c r="K426" s="11" t="s">
        <v>18</v>
      </c>
      <c r="L426" s="11" t="s">
        <v>51</v>
      </c>
      <c r="M426" s="11" t="s">
        <v>47</v>
      </c>
      <c r="N426" s="11" t="s">
        <v>21</v>
      </c>
      <c r="O426" s="11" t="s">
        <v>45</v>
      </c>
    </row>
    <row r="427" spans="2:15" ht="21" customHeight="1" x14ac:dyDescent="0.3">
      <c r="B427" s="4" t="s">
        <v>14</v>
      </c>
      <c r="C427" s="5">
        <v>1</v>
      </c>
      <c r="D427" s="6" t="s">
        <v>63</v>
      </c>
      <c r="E427" s="4" t="s">
        <v>34</v>
      </c>
      <c r="F427" s="4" t="s">
        <v>24</v>
      </c>
      <c r="G427" s="7">
        <v>3</v>
      </c>
      <c r="H427" s="1">
        <v>15000000</v>
      </c>
      <c r="I427" s="4">
        <v>2</v>
      </c>
      <c r="J427" s="8">
        <v>1.5277777777777779E-3</v>
      </c>
      <c r="K427" s="4" t="s">
        <v>18</v>
      </c>
      <c r="L427" s="4" t="s">
        <v>19</v>
      </c>
      <c r="M427" s="4" t="s">
        <v>55</v>
      </c>
      <c r="N427" s="4" t="s">
        <v>27</v>
      </c>
      <c r="O427" s="4" t="s">
        <v>56</v>
      </c>
    </row>
    <row r="428" spans="2:15" ht="21" customHeight="1" x14ac:dyDescent="0.3">
      <c r="B428" s="11" t="s">
        <v>14</v>
      </c>
      <c r="C428" s="12">
        <v>6</v>
      </c>
      <c r="D428" s="13" t="s">
        <v>76</v>
      </c>
      <c r="E428" s="11" t="s">
        <v>53</v>
      </c>
      <c r="F428" s="11" t="s">
        <v>46</v>
      </c>
      <c r="G428" s="14">
        <v>2</v>
      </c>
      <c r="H428" s="15">
        <v>38000000</v>
      </c>
      <c r="I428" s="11">
        <v>1</v>
      </c>
      <c r="J428" s="16">
        <v>1.5277777777777779E-3</v>
      </c>
      <c r="K428" s="11" t="s">
        <v>50</v>
      </c>
      <c r="L428" s="11" t="s">
        <v>31</v>
      </c>
      <c r="M428" s="11" t="s">
        <v>20</v>
      </c>
      <c r="N428" s="11" t="s">
        <v>21</v>
      </c>
      <c r="O428" s="11" t="s">
        <v>66</v>
      </c>
    </row>
    <row r="429" spans="2:15" ht="21" customHeight="1" x14ac:dyDescent="0.3">
      <c r="B429" s="4" t="s">
        <v>14</v>
      </c>
      <c r="C429" s="5">
        <v>31</v>
      </c>
      <c r="D429" s="6" t="s">
        <v>23</v>
      </c>
      <c r="E429" s="4" t="s">
        <v>30</v>
      </c>
      <c r="F429" s="4" t="s">
        <v>24</v>
      </c>
      <c r="G429" s="7">
        <v>1</v>
      </c>
      <c r="H429" s="1">
        <v>19000000</v>
      </c>
      <c r="I429" s="4">
        <v>2</v>
      </c>
      <c r="J429" s="8">
        <v>1.5277777777777779E-3</v>
      </c>
      <c r="K429" s="4" t="s">
        <v>50</v>
      </c>
      <c r="L429" s="4" t="s">
        <v>19</v>
      </c>
      <c r="M429" s="4" t="s">
        <v>32</v>
      </c>
      <c r="N429" s="4" t="s">
        <v>27</v>
      </c>
      <c r="O429" s="4" t="s">
        <v>56</v>
      </c>
    </row>
    <row r="430" spans="2:15" ht="21" customHeight="1" x14ac:dyDescent="0.3">
      <c r="B430" s="11" t="s">
        <v>14</v>
      </c>
      <c r="C430" s="12">
        <v>12</v>
      </c>
      <c r="D430" s="13" t="s">
        <v>23</v>
      </c>
      <c r="E430" s="11" t="s">
        <v>30</v>
      </c>
      <c r="F430" s="11" t="s">
        <v>46</v>
      </c>
      <c r="G430" s="14">
        <v>2</v>
      </c>
      <c r="H430" s="15">
        <v>10000000</v>
      </c>
      <c r="I430" s="11">
        <v>4</v>
      </c>
      <c r="J430" s="16">
        <v>1.5277777777777779E-3</v>
      </c>
      <c r="K430" s="11" t="s">
        <v>18</v>
      </c>
      <c r="L430" s="11" t="s">
        <v>25</v>
      </c>
      <c r="M430" s="11" t="s">
        <v>44</v>
      </c>
      <c r="N430" s="11" t="s">
        <v>39</v>
      </c>
      <c r="O430" s="11" t="s">
        <v>40</v>
      </c>
    </row>
    <row r="431" spans="2:15" ht="21" customHeight="1" x14ac:dyDescent="0.3">
      <c r="B431" s="4" t="s">
        <v>14</v>
      </c>
      <c r="C431" s="5">
        <v>28</v>
      </c>
      <c r="D431" s="6" t="s">
        <v>29</v>
      </c>
      <c r="E431" s="4" t="s">
        <v>77</v>
      </c>
      <c r="F431" s="4" t="s">
        <v>72</v>
      </c>
      <c r="G431" s="7">
        <v>5</v>
      </c>
      <c r="H431" s="1">
        <v>21000000</v>
      </c>
      <c r="I431" s="4">
        <v>3</v>
      </c>
      <c r="J431" s="8">
        <v>1.5277777777777779E-3</v>
      </c>
      <c r="K431" s="4" t="s">
        <v>18</v>
      </c>
      <c r="L431" s="4" t="s">
        <v>60</v>
      </c>
      <c r="M431" s="4" t="s">
        <v>44</v>
      </c>
      <c r="N431" s="4" t="s">
        <v>27</v>
      </c>
      <c r="O431" s="4" t="s">
        <v>79</v>
      </c>
    </row>
    <row r="432" spans="2:15" ht="21" customHeight="1" x14ac:dyDescent="0.3">
      <c r="B432" s="11" t="s">
        <v>14</v>
      </c>
      <c r="C432" s="12">
        <v>2</v>
      </c>
      <c r="D432" s="13" t="s">
        <v>29</v>
      </c>
      <c r="E432" s="11" t="s">
        <v>16</v>
      </c>
      <c r="F432" s="11" t="s">
        <v>49</v>
      </c>
      <c r="G432" s="14">
        <v>2</v>
      </c>
      <c r="H432" s="15">
        <v>10000000</v>
      </c>
      <c r="I432" s="11">
        <v>2</v>
      </c>
      <c r="J432" s="16">
        <v>1.5277777777777779E-3</v>
      </c>
      <c r="K432" s="11" t="s">
        <v>18</v>
      </c>
      <c r="L432" s="11" t="s">
        <v>51</v>
      </c>
      <c r="M432" s="11" t="s">
        <v>32</v>
      </c>
      <c r="N432" s="11" t="s">
        <v>27</v>
      </c>
      <c r="O432" s="11" t="s">
        <v>33</v>
      </c>
    </row>
    <row r="433" spans="2:15" ht="21" customHeight="1" x14ac:dyDescent="0.3">
      <c r="B433" s="4" t="s">
        <v>14</v>
      </c>
      <c r="C433" s="5">
        <v>21</v>
      </c>
      <c r="D433" s="6" t="s">
        <v>29</v>
      </c>
      <c r="E433" s="4" t="s">
        <v>34</v>
      </c>
      <c r="F433" s="4" t="s">
        <v>24</v>
      </c>
      <c r="G433" s="7">
        <v>2</v>
      </c>
      <c r="H433" s="1">
        <v>12000000</v>
      </c>
      <c r="I433" s="4">
        <v>3</v>
      </c>
      <c r="J433" s="8">
        <v>1.5277777777777779E-3</v>
      </c>
      <c r="K433" s="4" t="s">
        <v>18</v>
      </c>
      <c r="L433" s="4" t="s">
        <v>19</v>
      </c>
      <c r="M433" s="4" t="s">
        <v>32</v>
      </c>
      <c r="N433" s="4" t="s">
        <v>36</v>
      </c>
      <c r="O433" s="4" t="s">
        <v>58</v>
      </c>
    </row>
    <row r="434" spans="2:15" ht="21" customHeight="1" x14ac:dyDescent="0.3">
      <c r="B434" s="11" t="s">
        <v>14</v>
      </c>
      <c r="C434" s="12">
        <v>30</v>
      </c>
      <c r="D434" s="13" t="s">
        <v>29</v>
      </c>
      <c r="E434" s="11" t="s">
        <v>30</v>
      </c>
      <c r="F434" s="11" t="s">
        <v>17</v>
      </c>
      <c r="G434" s="14">
        <v>4</v>
      </c>
      <c r="H434" s="15">
        <v>15000000</v>
      </c>
      <c r="I434" s="11">
        <v>1</v>
      </c>
      <c r="J434" s="16">
        <v>1.5277777777777779E-3</v>
      </c>
      <c r="K434" s="11" t="s">
        <v>18</v>
      </c>
      <c r="L434" s="11" t="s">
        <v>43</v>
      </c>
      <c r="M434" s="11" t="s">
        <v>26</v>
      </c>
      <c r="N434" s="11" t="s">
        <v>27</v>
      </c>
      <c r="O434" s="11" t="s">
        <v>79</v>
      </c>
    </row>
    <row r="435" spans="2:15" ht="21" customHeight="1" x14ac:dyDescent="0.3">
      <c r="B435" s="4" t="s">
        <v>14</v>
      </c>
      <c r="C435" s="5">
        <v>24</v>
      </c>
      <c r="D435" s="6" t="s">
        <v>29</v>
      </c>
      <c r="E435" s="4" t="s">
        <v>77</v>
      </c>
      <c r="F435" s="4" t="s">
        <v>46</v>
      </c>
      <c r="G435" s="7">
        <v>5</v>
      </c>
      <c r="H435" s="1">
        <v>25000000</v>
      </c>
      <c r="I435" s="4">
        <v>2</v>
      </c>
      <c r="J435" s="8">
        <v>1.5277777777777779E-3</v>
      </c>
      <c r="K435" s="4" t="s">
        <v>18</v>
      </c>
      <c r="L435" s="4" t="s">
        <v>19</v>
      </c>
      <c r="M435" s="4" t="s">
        <v>35</v>
      </c>
      <c r="N435" s="4" t="s">
        <v>39</v>
      </c>
      <c r="O435" s="4" t="s">
        <v>40</v>
      </c>
    </row>
    <row r="436" spans="2:15" ht="21" customHeight="1" x14ac:dyDescent="0.3">
      <c r="B436" s="11" t="s">
        <v>14</v>
      </c>
      <c r="C436" s="12">
        <v>24</v>
      </c>
      <c r="D436" s="13" t="s">
        <v>29</v>
      </c>
      <c r="E436" s="11" t="s">
        <v>42</v>
      </c>
      <c r="F436" s="11" t="s">
        <v>24</v>
      </c>
      <c r="G436" s="14">
        <v>3</v>
      </c>
      <c r="H436" s="15">
        <v>15000000</v>
      </c>
      <c r="I436" s="11">
        <v>2</v>
      </c>
      <c r="J436" s="16">
        <v>1.5277777777777779E-3</v>
      </c>
      <c r="K436" s="11" t="s">
        <v>18</v>
      </c>
      <c r="L436" s="11" t="s">
        <v>54</v>
      </c>
      <c r="M436" s="11" t="s">
        <v>44</v>
      </c>
      <c r="N436" s="11" t="s">
        <v>27</v>
      </c>
      <c r="O436" s="11" t="s">
        <v>28</v>
      </c>
    </row>
    <row r="437" spans="2:15" ht="21" customHeight="1" x14ac:dyDescent="0.3">
      <c r="B437" s="4" t="s">
        <v>14</v>
      </c>
      <c r="C437" s="5">
        <v>30</v>
      </c>
      <c r="D437" s="6" t="s">
        <v>29</v>
      </c>
      <c r="E437" s="4" t="s">
        <v>53</v>
      </c>
      <c r="F437" s="4" t="s">
        <v>17</v>
      </c>
      <c r="G437" s="7">
        <v>2</v>
      </c>
      <c r="H437" s="1">
        <v>12000000</v>
      </c>
      <c r="I437" s="4">
        <v>2</v>
      </c>
      <c r="J437" s="8">
        <v>1.5277777777777779E-3</v>
      </c>
      <c r="K437" s="4" t="s">
        <v>18</v>
      </c>
      <c r="L437" s="4" t="s">
        <v>51</v>
      </c>
      <c r="M437" s="4" t="s">
        <v>20</v>
      </c>
      <c r="N437" s="4" t="s">
        <v>36</v>
      </c>
      <c r="O437" s="4" t="s">
        <v>69</v>
      </c>
    </row>
    <row r="438" spans="2:15" ht="21" customHeight="1" x14ac:dyDescent="0.3">
      <c r="B438" s="11" t="s">
        <v>14</v>
      </c>
      <c r="C438" s="12">
        <v>22</v>
      </c>
      <c r="D438" s="13" t="s">
        <v>29</v>
      </c>
      <c r="E438" s="11" t="s">
        <v>53</v>
      </c>
      <c r="F438" s="11" t="s">
        <v>17</v>
      </c>
      <c r="G438" s="14">
        <v>3</v>
      </c>
      <c r="H438" s="15">
        <v>12000000</v>
      </c>
      <c r="I438" s="11">
        <v>2</v>
      </c>
      <c r="J438" s="16">
        <v>1.5277777777777779E-3</v>
      </c>
      <c r="K438" s="11" t="s">
        <v>18</v>
      </c>
      <c r="L438" s="11" t="s">
        <v>19</v>
      </c>
      <c r="M438" s="11" t="s">
        <v>47</v>
      </c>
      <c r="N438" s="11" t="s">
        <v>36</v>
      </c>
      <c r="O438" s="11" t="s">
        <v>58</v>
      </c>
    </row>
    <row r="439" spans="2:15" ht="21" customHeight="1" x14ac:dyDescent="0.3">
      <c r="B439" s="4" t="s">
        <v>14</v>
      </c>
      <c r="C439" s="5">
        <v>26</v>
      </c>
      <c r="D439" s="6" t="s">
        <v>29</v>
      </c>
      <c r="E439" s="4" t="s">
        <v>34</v>
      </c>
      <c r="F439" s="4" t="s">
        <v>72</v>
      </c>
      <c r="G439" s="7">
        <v>5</v>
      </c>
      <c r="H439" s="1">
        <v>25000000</v>
      </c>
      <c r="I439" s="4">
        <v>3</v>
      </c>
      <c r="J439" s="8">
        <v>1.5277777777777779E-3</v>
      </c>
      <c r="K439" s="4" t="s">
        <v>18</v>
      </c>
      <c r="L439" s="4" t="s">
        <v>60</v>
      </c>
      <c r="M439" s="4" t="s">
        <v>52</v>
      </c>
      <c r="N439" s="4" t="s">
        <v>27</v>
      </c>
      <c r="O439" s="4" t="s">
        <v>56</v>
      </c>
    </row>
    <row r="440" spans="2:15" ht="21" customHeight="1" x14ac:dyDescent="0.3">
      <c r="B440" s="11" t="s">
        <v>14</v>
      </c>
      <c r="C440" s="12">
        <v>29</v>
      </c>
      <c r="D440" s="13" t="s">
        <v>41</v>
      </c>
      <c r="E440" s="11" t="s">
        <v>34</v>
      </c>
      <c r="F440" s="11" t="s">
        <v>46</v>
      </c>
      <c r="G440" s="14">
        <v>1</v>
      </c>
      <c r="H440" s="15">
        <v>19000000</v>
      </c>
      <c r="I440" s="11">
        <v>4</v>
      </c>
      <c r="J440" s="16">
        <v>1.5277777777777779E-3</v>
      </c>
      <c r="K440" s="11" t="s">
        <v>50</v>
      </c>
      <c r="L440" s="11" t="s">
        <v>38</v>
      </c>
      <c r="M440" s="11" t="s">
        <v>52</v>
      </c>
      <c r="N440" s="11" t="s">
        <v>21</v>
      </c>
      <c r="O440" s="11" t="s">
        <v>57</v>
      </c>
    </row>
    <row r="441" spans="2:15" ht="21" customHeight="1" x14ac:dyDescent="0.3">
      <c r="B441" s="4" t="s">
        <v>14</v>
      </c>
      <c r="C441" s="5">
        <v>20</v>
      </c>
      <c r="D441" s="6" t="s">
        <v>41</v>
      </c>
      <c r="E441" s="4" t="s">
        <v>30</v>
      </c>
      <c r="F441" s="4" t="s">
        <v>46</v>
      </c>
      <c r="G441" s="7">
        <v>2</v>
      </c>
      <c r="H441" s="1">
        <v>38000000</v>
      </c>
      <c r="I441" s="4">
        <v>5</v>
      </c>
      <c r="J441" s="8">
        <v>1.5277777777777779E-3</v>
      </c>
      <c r="K441" s="4" t="s">
        <v>50</v>
      </c>
      <c r="L441" s="4" t="s">
        <v>19</v>
      </c>
      <c r="M441" s="4" t="s">
        <v>55</v>
      </c>
      <c r="N441" s="4" t="s">
        <v>21</v>
      </c>
      <c r="O441" s="4" t="s">
        <v>45</v>
      </c>
    </row>
    <row r="442" spans="2:15" ht="21" customHeight="1" x14ac:dyDescent="0.3">
      <c r="B442" s="11" t="s">
        <v>14</v>
      </c>
      <c r="C442" s="12">
        <v>4</v>
      </c>
      <c r="D442" s="13" t="s">
        <v>41</v>
      </c>
      <c r="E442" s="11" t="s">
        <v>34</v>
      </c>
      <c r="F442" s="11" t="s">
        <v>17</v>
      </c>
      <c r="G442" s="14">
        <v>5</v>
      </c>
      <c r="H442" s="15">
        <v>20000000</v>
      </c>
      <c r="I442" s="11">
        <v>2</v>
      </c>
      <c r="J442" s="16">
        <v>1.5277777777777779E-3</v>
      </c>
      <c r="K442" s="11" t="s">
        <v>18</v>
      </c>
      <c r="L442" s="11" t="s">
        <v>25</v>
      </c>
      <c r="M442" s="11" t="s">
        <v>32</v>
      </c>
      <c r="N442" s="11" t="s">
        <v>21</v>
      </c>
      <c r="O442" s="11" t="s">
        <v>67</v>
      </c>
    </row>
    <row r="443" spans="2:15" ht="21" customHeight="1" x14ac:dyDescent="0.3">
      <c r="B443" s="4" t="s">
        <v>14</v>
      </c>
      <c r="C443" s="5">
        <v>20</v>
      </c>
      <c r="D443" s="6" t="s">
        <v>41</v>
      </c>
      <c r="E443" s="4" t="s">
        <v>34</v>
      </c>
      <c r="F443" s="4" t="s">
        <v>24</v>
      </c>
      <c r="G443" s="7">
        <v>2</v>
      </c>
      <c r="H443" s="1">
        <v>12000000</v>
      </c>
      <c r="I443" s="4">
        <v>2</v>
      </c>
      <c r="J443" s="8">
        <v>1.5277777777777779E-3</v>
      </c>
      <c r="K443" s="4" t="s">
        <v>18</v>
      </c>
      <c r="L443" s="4" t="s">
        <v>19</v>
      </c>
      <c r="M443" s="4" t="s">
        <v>32</v>
      </c>
      <c r="N443" s="4" t="s">
        <v>39</v>
      </c>
      <c r="O443" s="4" t="s">
        <v>71</v>
      </c>
    </row>
    <row r="444" spans="2:15" ht="21" customHeight="1" x14ac:dyDescent="0.3">
      <c r="B444" s="11" t="s">
        <v>14</v>
      </c>
      <c r="C444" s="12">
        <v>22</v>
      </c>
      <c r="D444" s="13" t="s">
        <v>41</v>
      </c>
      <c r="E444" s="11" t="s">
        <v>53</v>
      </c>
      <c r="F444" s="11" t="s">
        <v>46</v>
      </c>
      <c r="G444" s="14">
        <v>1</v>
      </c>
      <c r="H444" s="15">
        <v>7000000</v>
      </c>
      <c r="I444" s="11">
        <v>1</v>
      </c>
      <c r="J444" s="16">
        <v>1.5277777777777779E-3</v>
      </c>
      <c r="K444" s="11" t="s">
        <v>18</v>
      </c>
      <c r="L444" s="11" t="s">
        <v>43</v>
      </c>
      <c r="M444" s="11" t="s">
        <v>35</v>
      </c>
      <c r="N444" s="11" t="s">
        <v>21</v>
      </c>
      <c r="O444" s="11" t="s">
        <v>45</v>
      </c>
    </row>
    <row r="445" spans="2:15" ht="21" customHeight="1" x14ac:dyDescent="0.3">
      <c r="B445" s="4" t="s">
        <v>14</v>
      </c>
      <c r="C445" s="5">
        <v>30</v>
      </c>
      <c r="D445" s="6" t="s">
        <v>41</v>
      </c>
      <c r="E445" s="4" t="s">
        <v>42</v>
      </c>
      <c r="F445" s="4" t="s">
        <v>24</v>
      </c>
      <c r="G445" s="7">
        <v>3</v>
      </c>
      <c r="H445" s="1">
        <v>15000000</v>
      </c>
      <c r="I445" s="4">
        <v>2</v>
      </c>
      <c r="J445" s="8">
        <v>1.5277777777777779E-3</v>
      </c>
      <c r="K445" s="4" t="s">
        <v>18</v>
      </c>
      <c r="L445" s="4" t="s">
        <v>60</v>
      </c>
      <c r="M445" s="4" t="s">
        <v>52</v>
      </c>
      <c r="N445" s="4" t="s">
        <v>27</v>
      </c>
      <c r="O445" s="4" t="s">
        <v>28</v>
      </c>
    </row>
    <row r="446" spans="2:15" ht="21" customHeight="1" x14ac:dyDescent="0.3">
      <c r="B446" s="11" t="s">
        <v>14</v>
      </c>
      <c r="C446" s="12">
        <v>3</v>
      </c>
      <c r="D446" s="13" t="s">
        <v>41</v>
      </c>
      <c r="E446" s="11" t="s">
        <v>16</v>
      </c>
      <c r="F446" s="11" t="s">
        <v>17</v>
      </c>
      <c r="G446" s="14">
        <v>3</v>
      </c>
      <c r="H446" s="15">
        <v>15000000</v>
      </c>
      <c r="I446" s="11">
        <v>2</v>
      </c>
      <c r="J446" s="16">
        <v>1.5277777777777779E-3</v>
      </c>
      <c r="K446" s="11" t="s">
        <v>18</v>
      </c>
      <c r="L446" s="11" t="s">
        <v>19</v>
      </c>
      <c r="M446" s="11" t="s">
        <v>26</v>
      </c>
      <c r="N446" s="11" t="s">
        <v>21</v>
      </c>
      <c r="O446" s="11" t="s">
        <v>66</v>
      </c>
    </row>
    <row r="447" spans="2:15" ht="21" customHeight="1" x14ac:dyDescent="0.3">
      <c r="B447" s="4" t="s">
        <v>14</v>
      </c>
      <c r="C447" s="5">
        <v>8</v>
      </c>
      <c r="D447" s="6" t="s">
        <v>41</v>
      </c>
      <c r="E447" s="4" t="s">
        <v>16</v>
      </c>
      <c r="F447" s="4" t="s">
        <v>49</v>
      </c>
      <c r="G447" s="7">
        <v>4</v>
      </c>
      <c r="H447" s="1">
        <v>20000000</v>
      </c>
      <c r="I447" s="4">
        <v>3</v>
      </c>
      <c r="J447" s="8">
        <v>1.5277777777777779E-3</v>
      </c>
      <c r="K447" s="4" t="s">
        <v>18</v>
      </c>
      <c r="L447" s="4" t="s">
        <v>31</v>
      </c>
      <c r="M447" s="4" t="s">
        <v>52</v>
      </c>
      <c r="N447" s="4" t="s">
        <v>36</v>
      </c>
      <c r="O447" s="4" t="s">
        <v>58</v>
      </c>
    </row>
    <row r="448" spans="2:15" ht="21" customHeight="1" x14ac:dyDescent="0.3">
      <c r="B448" s="11" t="s">
        <v>14</v>
      </c>
      <c r="C448" s="12">
        <v>23</v>
      </c>
      <c r="D448" s="13" t="s">
        <v>41</v>
      </c>
      <c r="E448" s="11" t="s">
        <v>16</v>
      </c>
      <c r="F448" s="11" t="s">
        <v>46</v>
      </c>
      <c r="G448" s="14">
        <v>3</v>
      </c>
      <c r="H448" s="15">
        <v>15000000</v>
      </c>
      <c r="I448" s="11">
        <v>1</v>
      </c>
      <c r="J448" s="16">
        <v>1.5277777777777779E-3</v>
      </c>
      <c r="K448" s="11" t="s">
        <v>18</v>
      </c>
      <c r="L448" s="11" t="s">
        <v>31</v>
      </c>
      <c r="M448" s="11" t="s">
        <v>55</v>
      </c>
      <c r="N448" s="11" t="s">
        <v>39</v>
      </c>
      <c r="O448" s="11" t="s">
        <v>71</v>
      </c>
    </row>
    <row r="449" spans="2:15" ht="21" customHeight="1" x14ac:dyDescent="0.3">
      <c r="B449" s="4" t="s">
        <v>14</v>
      </c>
      <c r="C449" s="5">
        <v>22</v>
      </c>
      <c r="D449" s="6" t="s">
        <v>48</v>
      </c>
      <c r="E449" s="4" t="s">
        <v>34</v>
      </c>
      <c r="F449" s="4" t="s">
        <v>46</v>
      </c>
      <c r="G449" s="7">
        <v>2</v>
      </c>
      <c r="H449" s="1">
        <v>38000000</v>
      </c>
      <c r="I449" s="4">
        <v>3</v>
      </c>
      <c r="J449" s="8">
        <v>1.5277777777777779E-3</v>
      </c>
      <c r="K449" s="4" t="s">
        <v>50</v>
      </c>
      <c r="L449" s="4" t="s">
        <v>68</v>
      </c>
      <c r="M449" s="4" t="s">
        <v>26</v>
      </c>
      <c r="N449" s="4" t="s">
        <v>21</v>
      </c>
      <c r="O449" s="4" t="s">
        <v>66</v>
      </c>
    </row>
    <row r="450" spans="2:15" ht="21" customHeight="1" x14ac:dyDescent="0.3">
      <c r="B450" s="11" t="s">
        <v>14</v>
      </c>
      <c r="C450" s="12">
        <v>3</v>
      </c>
      <c r="D450" s="13" t="s">
        <v>48</v>
      </c>
      <c r="E450" s="11" t="s">
        <v>34</v>
      </c>
      <c r="F450" s="11" t="s">
        <v>24</v>
      </c>
      <c r="G450" s="14">
        <v>1</v>
      </c>
      <c r="H450" s="15">
        <v>19000000</v>
      </c>
      <c r="I450" s="11">
        <v>3</v>
      </c>
      <c r="J450" s="16">
        <v>1.5277777777777779E-3</v>
      </c>
      <c r="K450" s="11" t="s">
        <v>50</v>
      </c>
      <c r="L450" s="11" t="s">
        <v>31</v>
      </c>
      <c r="M450" s="11" t="s">
        <v>52</v>
      </c>
      <c r="N450" s="11" t="s">
        <v>27</v>
      </c>
      <c r="O450" s="11" t="s">
        <v>33</v>
      </c>
    </row>
    <row r="451" spans="2:15" ht="21" customHeight="1" x14ac:dyDescent="0.3">
      <c r="B451" s="4" t="s">
        <v>14</v>
      </c>
      <c r="C451" s="5">
        <v>6</v>
      </c>
      <c r="D451" s="6" t="s">
        <v>48</v>
      </c>
      <c r="E451" s="4" t="s">
        <v>34</v>
      </c>
      <c r="F451" s="4" t="s">
        <v>24</v>
      </c>
      <c r="G451" s="7">
        <v>3</v>
      </c>
      <c r="H451" s="1">
        <v>11000000</v>
      </c>
      <c r="I451" s="4">
        <v>5</v>
      </c>
      <c r="J451" s="8">
        <v>1.5277777777777779E-3</v>
      </c>
      <c r="K451" s="4" t="s">
        <v>18</v>
      </c>
      <c r="L451" s="4" t="s">
        <v>54</v>
      </c>
      <c r="M451" s="4" t="s">
        <v>32</v>
      </c>
      <c r="N451" s="4" t="s">
        <v>39</v>
      </c>
      <c r="O451" s="4" t="s">
        <v>71</v>
      </c>
    </row>
    <row r="452" spans="2:15" ht="21" customHeight="1" x14ac:dyDescent="0.3">
      <c r="B452" s="11" t="s">
        <v>14</v>
      </c>
      <c r="C452" s="12">
        <v>22</v>
      </c>
      <c r="D452" s="13" t="s">
        <v>48</v>
      </c>
      <c r="E452" s="11" t="s">
        <v>34</v>
      </c>
      <c r="F452" s="11" t="s">
        <v>46</v>
      </c>
      <c r="G452" s="14">
        <v>5</v>
      </c>
      <c r="H452" s="15">
        <v>25000000</v>
      </c>
      <c r="I452" s="11">
        <v>2</v>
      </c>
      <c r="J452" s="16">
        <v>1.5277777777777779E-3</v>
      </c>
      <c r="K452" s="11" t="s">
        <v>18</v>
      </c>
      <c r="L452" s="11" t="s">
        <v>43</v>
      </c>
      <c r="M452" s="11" t="s">
        <v>47</v>
      </c>
      <c r="N452" s="11" t="s">
        <v>21</v>
      </c>
      <c r="O452" s="11" t="s">
        <v>45</v>
      </c>
    </row>
    <row r="453" spans="2:15" ht="21" customHeight="1" x14ac:dyDescent="0.3">
      <c r="B453" s="4" t="s">
        <v>14</v>
      </c>
      <c r="C453" s="5">
        <v>22</v>
      </c>
      <c r="D453" s="6" t="s">
        <v>48</v>
      </c>
      <c r="E453" s="4" t="s">
        <v>53</v>
      </c>
      <c r="F453" s="4" t="s">
        <v>17</v>
      </c>
      <c r="G453" s="7">
        <v>2</v>
      </c>
      <c r="H453" s="1">
        <v>12000000</v>
      </c>
      <c r="I453" s="4">
        <v>1</v>
      </c>
      <c r="J453" s="8">
        <v>1.5277777777777779E-3</v>
      </c>
      <c r="K453" s="4" t="s">
        <v>18</v>
      </c>
      <c r="L453" s="4" t="s">
        <v>68</v>
      </c>
      <c r="M453" s="4" t="s">
        <v>35</v>
      </c>
      <c r="N453" s="4" t="s">
        <v>21</v>
      </c>
      <c r="O453" s="4" t="s">
        <v>66</v>
      </c>
    </row>
    <row r="454" spans="2:15" ht="21" customHeight="1" x14ac:dyDescent="0.3">
      <c r="B454" s="11" t="s">
        <v>14</v>
      </c>
      <c r="C454" s="12">
        <v>11</v>
      </c>
      <c r="D454" s="13" t="s">
        <v>48</v>
      </c>
      <c r="E454" s="11" t="s">
        <v>30</v>
      </c>
      <c r="F454" s="11" t="s">
        <v>46</v>
      </c>
      <c r="G454" s="14">
        <v>3</v>
      </c>
      <c r="H454" s="15">
        <v>15000000</v>
      </c>
      <c r="I454" s="11">
        <v>1</v>
      </c>
      <c r="J454" s="16">
        <v>1.5277777777777779E-3</v>
      </c>
      <c r="K454" s="11" t="s">
        <v>18</v>
      </c>
      <c r="L454" s="11" t="s">
        <v>54</v>
      </c>
      <c r="M454" s="11" t="s">
        <v>52</v>
      </c>
      <c r="N454" s="11" t="s">
        <v>21</v>
      </c>
      <c r="O454" s="11" t="s">
        <v>45</v>
      </c>
    </row>
    <row r="455" spans="2:15" ht="21" customHeight="1" x14ac:dyDescent="0.3">
      <c r="B455" s="4" t="s">
        <v>14</v>
      </c>
      <c r="C455" s="5">
        <v>17</v>
      </c>
      <c r="D455" s="6" t="s">
        <v>48</v>
      </c>
      <c r="E455" s="4" t="s">
        <v>16</v>
      </c>
      <c r="F455" s="4" t="s">
        <v>24</v>
      </c>
      <c r="G455" s="7">
        <v>3</v>
      </c>
      <c r="H455" s="1">
        <v>15000000</v>
      </c>
      <c r="I455" s="4">
        <v>5</v>
      </c>
      <c r="J455" s="8">
        <v>1.5277777777777779E-3</v>
      </c>
      <c r="K455" s="4" t="s">
        <v>18</v>
      </c>
      <c r="L455" s="4" t="s">
        <v>43</v>
      </c>
      <c r="M455" s="4" t="s">
        <v>52</v>
      </c>
      <c r="N455" s="4" t="s">
        <v>27</v>
      </c>
      <c r="O455" s="4" t="s">
        <v>28</v>
      </c>
    </row>
    <row r="456" spans="2:15" ht="21" customHeight="1" x14ac:dyDescent="0.3">
      <c r="B456" s="11" t="s">
        <v>14</v>
      </c>
      <c r="C456" s="12">
        <v>1</v>
      </c>
      <c r="D456" s="13" t="s">
        <v>48</v>
      </c>
      <c r="E456" s="11" t="s">
        <v>30</v>
      </c>
      <c r="F456" s="11" t="s">
        <v>46</v>
      </c>
      <c r="G456" s="14">
        <v>4</v>
      </c>
      <c r="H456" s="15">
        <v>20000000</v>
      </c>
      <c r="I456" s="11">
        <v>1</v>
      </c>
      <c r="J456" s="16">
        <v>1.5277777777777779E-3</v>
      </c>
      <c r="K456" s="11" t="s">
        <v>18</v>
      </c>
      <c r="L456" s="11" t="s">
        <v>31</v>
      </c>
      <c r="M456" s="11" t="s">
        <v>55</v>
      </c>
      <c r="N456" s="11" t="s">
        <v>27</v>
      </c>
      <c r="O456" s="11" t="s">
        <v>56</v>
      </c>
    </row>
    <row r="457" spans="2:15" ht="21" customHeight="1" x14ac:dyDescent="0.3">
      <c r="B457" s="4" t="s">
        <v>14</v>
      </c>
      <c r="C457" s="5">
        <v>11</v>
      </c>
      <c r="D457" s="6" t="s">
        <v>73</v>
      </c>
      <c r="E457" s="4" t="s">
        <v>53</v>
      </c>
      <c r="F457" s="4" t="s">
        <v>24</v>
      </c>
      <c r="G457" s="7">
        <v>4</v>
      </c>
      <c r="H457" s="1">
        <v>20000000</v>
      </c>
      <c r="I457" s="4">
        <v>3</v>
      </c>
      <c r="J457" s="8">
        <v>1.5277777777777779E-3</v>
      </c>
      <c r="K457" s="4" t="s">
        <v>65</v>
      </c>
      <c r="L457" s="4" t="s">
        <v>68</v>
      </c>
      <c r="M457" s="4" t="s">
        <v>35</v>
      </c>
      <c r="N457" s="4" t="s">
        <v>36</v>
      </c>
      <c r="O457" s="4" t="s">
        <v>69</v>
      </c>
    </row>
    <row r="458" spans="2:15" ht="21" customHeight="1" x14ac:dyDescent="0.3">
      <c r="B458" s="11" t="s">
        <v>14</v>
      </c>
      <c r="C458" s="12">
        <v>25</v>
      </c>
      <c r="D458" s="13" t="s">
        <v>73</v>
      </c>
      <c r="E458" s="11" t="s">
        <v>53</v>
      </c>
      <c r="F458" s="11" t="s">
        <v>46</v>
      </c>
      <c r="G458" s="14">
        <v>2</v>
      </c>
      <c r="H458" s="15">
        <v>12000000</v>
      </c>
      <c r="I458" s="11">
        <v>2</v>
      </c>
      <c r="J458" s="16">
        <v>1.5277777777777779E-3</v>
      </c>
      <c r="K458" s="11" t="s">
        <v>18</v>
      </c>
      <c r="L458" s="11" t="s">
        <v>31</v>
      </c>
      <c r="M458" s="11" t="s">
        <v>35</v>
      </c>
      <c r="N458" s="11" t="s">
        <v>36</v>
      </c>
      <c r="O458" s="11" t="s">
        <v>69</v>
      </c>
    </row>
    <row r="459" spans="2:15" ht="21" customHeight="1" x14ac:dyDescent="0.3">
      <c r="B459" s="4" t="s">
        <v>14</v>
      </c>
      <c r="C459" s="5">
        <v>24</v>
      </c>
      <c r="D459" s="6" t="s">
        <v>73</v>
      </c>
      <c r="E459" s="4" t="s">
        <v>16</v>
      </c>
      <c r="F459" s="4" t="s">
        <v>17</v>
      </c>
      <c r="G459" s="7">
        <v>3</v>
      </c>
      <c r="H459" s="1">
        <v>15000000</v>
      </c>
      <c r="I459" s="4">
        <v>3</v>
      </c>
      <c r="J459" s="8">
        <v>1.5277777777777779E-3</v>
      </c>
      <c r="K459" s="4" t="s">
        <v>18</v>
      </c>
      <c r="L459" s="4" t="s">
        <v>19</v>
      </c>
      <c r="M459" s="4" t="s">
        <v>47</v>
      </c>
      <c r="N459" s="4" t="s">
        <v>39</v>
      </c>
      <c r="O459" s="4" t="s">
        <v>71</v>
      </c>
    </row>
    <row r="460" spans="2:15" ht="21" customHeight="1" x14ac:dyDescent="0.3">
      <c r="B460" s="11" t="s">
        <v>14</v>
      </c>
      <c r="C460" s="12">
        <v>31</v>
      </c>
      <c r="D460" s="13" t="s">
        <v>73</v>
      </c>
      <c r="E460" s="11" t="s">
        <v>16</v>
      </c>
      <c r="F460" s="11" t="s">
        <v>24</v>
      </c>
      <c r="G460" s="14">
        <v>2</v>
      </c>
      <c r="H460" s="15">
        <v>12000000</v>
      </c>
      <c r="I460" s="11">
        <v>2</v>
      </c>
      <c r="J460" s="16">
        <v>1.5277777777777779E-3</v>
      </c>
      <c r="K460" s="11" t="s">
        <v>18</v>
      </c>
      <c r="L460" s="11" t="s">
        <v>25</v>
      </c>
      <c r="M460" s="11" t="s">
        <v>55</v>
      </c>
      <c r="N460" s="11" t="s">
        <v>27</v>
      </c>
      <c r="O460" s="11" t="s">
        <v>28</v>
      </c>
    </row>
    <row r="461" spans="2:15" ht="21" customHeight="1" x14ac:dyDescent="0.3">
      <c r="B461" s="4" t="s">
        <v>14</v>
      </c>
      <c r="C461" s="5">
        <v>11</v>
      </c>
      <c r="D461" s="6" t="s">
        <v>59</v>
      </c>
      <c r="E461" s="4" t="s">
        <v>53</v>
      </c>
      <c r="F461" s="4" t="s">
        <v>17</v>
      </c>
      <c r="G461" s="7">
        <v>5</v>
      </c>
      <c r="H461" s="1">
        <v>25000000</v>
      </c>
      <c r="I461" s="4">
        <v>3</v>
      </c>
      <c r="J461" s="8">
        <v>1.5277777777777779E-3</v>
      </c>
      <c r="K461" s="4" t="s">
        <v>18</v>
      </c>
      <c r="L461" s="4" t="s">
        <v>51</v>
      </c>
      <c r="M461" s="4" t="s">
        <v>20</v>
      </c>
      <c r="N461" s="4" t="s">
        <v>39</v>
      </c>
      <c r="O461" s="4" t="s">
        <v>40</v>
      </c>
    </row>
    <row r="462" spans="2:15" ht="21" customHeight="1" x14ac:dyDescent="0.3">
      <c r="B462" s="11" t="s">
        <v>14</v>
      </c>
      <c r="C462" s="12">
        <v>15</v>
      </c>
      <c r="D462" s="13" t="s">
        <v>59</v>
      </c>
      <c r="E462" s="11" t="s">
        <v>34</v>
      </c>
      <c r="F462" s="11" t="s">
        <v>46</v>
      </c>
      <c r="G462" s="14">
        <v>2</v>
      </c>
      <c r="H462" s="15">
        <v>12000000</v>
      </c>
      <c r="I462" s="11">
        <v>1</v>
      </c>
      <c r="J462" s="16">
        <v>1.5277777777777779E-3</v>
      </c>
      <c r="K462" s="11" t="s">
        <v>18</v>
      </c>
      <c r="L462" s="11" t="s">
        <v>31</v>
      </c>
      <c r="M462" s="11" t="s">
        <v>47</v>
      </c>
      <c r="N462" s="11" t="s">
        <v>27</v>
      </c>
      <c r="O462" s="11" t="s">
        <v>33</v>
      </c>
    </row>
    <row r="463" spans="2:15" ht="21" customHeight="1" x14ac:dyDescent="0.3">
      <c r="B463" s="4" t="s">
        <v>14</v>
      </c>
      <c r="C463" s="5">
        <v>14</v>
      </c>
      <c r="D463" s="6" t="s">
        <v>61</v>
      </c>
      <c r="E463" s="4" t="s">
        <v>30</v>
      </c>
      <c r="F463" s="4" t="s">
        <v>24</v>
      </c>
      <c r="G463" s="7">
        <v>2</v>
      </c>
      <c r="H463" s="1">
        <v>12000000</v>
      </c>
      <c r="I463" s="4">
        <v>1</v>
      </c>
      <c r="J463" s="8">
        <v>1.5277777777777779E-3</v>
      </c>
      <c r="K463" s="4" t="s">
        <v>18</v>
      </c>
      <c r="L463" s="4" t="s">
        <v>51</v>
      </c>
      <c r="M463" s="4" t="s">
        <v>32</v>
      </c>
      <c r="N463" s="4" t="s">
        <v>36</v>
      </c>
      <c r="O463" s="4" t="s">
        <v>69</v>
      </c>
    </row>
    <row r="464" spans="2:15" ht="21" customHeight="1" x14ac:dyDescent="0.3">
      <c r="B464" s="11" t="s">
        <v>14</v>
      </c>
      <c r="C464" s="12">
        <v>11</v>
      </c>
      <c r="D464" s="13" t="s">
        <v>61</v>
      </c>
      <c r="E464" s="11" t="s">
        <v>16</v>
      </c>
      <c r="F464" s="11" t="s">
        <v>46</v>
      </c>
      <c r="G464" s="14">
        <v>1</v>
      </c>
      <c r="H464" s="15">
        <v>7000000</v>
      </c>
      <c r="I464" s="11">
        <v>1</v>
      </c>
      <c r="J464" s="16">
        <v>1.5277777777777779E-3</v>
      </c>
      <c r="K464" s="11" t="s">
        <v>18</v>
      </c>
      <c r="L464" s="11" t="s">
        <v>43</v>
      </c>
      <c r="M464" s="11" t="s">
        <v>35</v>
      </c>
      <c r="N464" s="11" t="s">
        <v>27</v>
      </c>
      <c r="O464" s="11" t="s">
        <v>33</v>
      </c>
    </row>
    <row r="465" spans="2:15" ht="21" customHeight="1" x14ac:dyDescent="0.3">
      <c r="B465" s="4" t="s">
        <v>14</v>
      </c>
      <c r="C465" s="5">
        <v>1</v>
      </c>
      <c r="D465" s="6" t="s">
        <v>63</v>
      </c>
      <c r="E465" s="4" t="s">
        <v>30</v>
      </c>
      <c r="F465" s="4" t="s">
        <v>17</v>
      </c>
      <c r="G465" s="7">
        <v>4</v>
      </c>
      <c r="H465" s="1">
        <v>20000000</v>
      </c>
      <c r="I465" s="4">
        <v>2</v>
      </c>
      <c r="J465" s="8">
        <v>1.5277777777777779E-3</v>
      </c>
      <c r="K465" s="4" t="s">
        <v>65</v>
      </c>
      <c r="L465" s="4" t="s">
        <v>31</v>
      </c>
      <c r="M465" s="4" t="s">
        <v>26</v>
      </c>
      <c r="N465" s="4" t="s">
        <v>21</v>
      </c>
      <c r="O465" s="4" t="s">
        <v>57</v>
      </c>
    </row>
    <row r="466" spans="2:15" ht="21" customHeight="1" x14ac:dyDescent="0.3">
      <c r="B466" s="11" t="s">
        <v>14</v>
      </c>
      <c r="C466" s="12">
        <v>7</v>
      </c>
      <c r="D466" s="13" t="s">
        <v>63</v>
      </c>
      <c r="E466" s="11" t="s">
        <v>30</v>
      </c>
      <c r="F466" s="11" t="s">
        <v>46</v>
      </c>
      <c r="G466" s="14">
        <v>3</v>
      </c>
      <c r="H466" s="15">
        <v>15000000</v>
      </c>
      <c r="I466" s="11">
        <v>1</v>
      </c>
      <c r="J466" s="16">
        <v>1.5277777777777779E-3</v>
      </c>
      <c r="K466" s="11" t="s">
        <v>18</v>
      </c>
      <c r="L466" s="11" t="s">
        <v>51</v>
      </c>
      <c r="M466" s="11" t="s">
        <v>47</v>
      </c>
      <c r="N466" s="11" t="s">
        <v>21</v>
      </c>
      <c r="O466" s="11" t="s">
        <v>45</v>
      </c>
    </row>
    <row r="467" spans="2:15" ht="21" customHeight="1" x14ac:dyDescent="0.3">
      <c r="B467" s="4" t="s">
        <v>14</v>
      </c>
      <c r="C467" s="5">
        <v>1</v>
      </c>
      <c r="D467" s="6" t="s">
        <v>63</v>
      </c>
      <c r="E467" s="4" t="s">
        <v>34</v>
      </c>
      <c r="F467" s="4" t="s">
        <v>24</v>
      </c>
      <c r="G467" s="7">
        <v>3</v>
      </c>
      <c r="H467" s="1">
        <v>15000000</v>
      </c>
      <c r="I467" s="4">
        <v>2</v>
      </c>
      <c r="J467" s="8">
        <v>1.5277777777777779E-3</v>
      </c>
      <c r="K467" s="4" t="s">
        <v>18</v>
      </c>
      <c r="L467" s="4" t="s">
        <v>19</v>
      </c>
      <c r="M467" s="4" t="s">
        <v>55</v>
      </c>
      <c r="N467" s="4" t="s">
        <v>27</v>
      </c>
      <c r="O467" s="4" t="s">
        <v>56</v>
      </c>
    </row>
    <row r="468" spans="2:15" ht="21" customHeight="1" x14ac:dyDescent="0.3">
      <c r="B468" s="11" t="s">
        <v>14</v>
      </c>
      <c r="C468" s="12">
        <v>6</v>
      </c>
      <c r="D468" s="13" t="s">
        <v>76</v>
      </c>
      <c r="E468" s="11" t="s">
        <v>53</v>
      </c>
      <c r="F468" s="11" t="s">
        <v>46</v>
      </c>
      <c r="G468" s="14">
        <v>2</v>
      </c>
      <c r="H468" s="15">
        <v>38000000</v>
      </c>
      <c r="I468" s="11">
        <v>1</v>
      </c>
      <c r="J468" s="16">
        <v>1.5277777777777779E-3</v>
      </c>
      <c r="K468" s="11" t="s">
        <v>50</v>
      </c>
      <c r="L468" s="11" t="s">
        <v>31</v>
      </c>
      <c r="M468" s="11" t="s">
        <v>20</v>
      </c>
      <c r="N468" s="11" t="s">
        <v>21</v>
      </c>
      <c r="O468" s="11" t="s">
        <v>66</v>
      </c>
    </row>
    <row r="469" spans="2:15" ht="21" customHeight="1" x14ac:dyDescent="0.3">
      <c r="B469" s="4" t="s">
        <v>14</v>
      </c>
      <c r="C469" s="5">
        <v>31</v>
      </c>
      <c r="D469" s="6" t="s">
        <v>23</v>
      </c>
      <c r="E469" s="4" t="s">
        <v>30</v>
      </c>
      <c r="F469" s="4" t="s">
        <v>24</v>
      </c>
      <c r="G469" s="7">
        <v>1</v>
      </c>
      <c r="H469" s="1">
        <v>19000000</v>
      </c>
      <c r="I469" s="4">
        <v>2</v>
      </c>
      <c r="J469" s="8">
        <v>1.5277777777777779E-3</v>
      </c>
      <c r="K469" s="4" t="s">
        <v>50</v>
      </c>
      <c r="L469" s="4" t="s">
        <v>19</v>
      </c>
      <c r="M469" s="4" t="s">
        <v>32</v>
      </c>
      <c r="N469" s="4" t="s">
        <v>27</v>
      </c>
      <c r="O469" s="4" t="s">
        <v>56</v>
      </c>
    </row>
    <row r="470" spans="2:15" ht="21" customHeight="1" x14ac:dyDescent="0.3">
      <c r="B470" s="11" t="s">
        <v>74</v>
      </c>
      <c r="C470" s="12">
        <v>14</v>
      </c>
      <c r="D470" s="13" t="s">
        <v>62</v>
      </c>
      <c r="E470" s="11" t="s">
        <v>42</v>
      </c>
      <c r="F470" s="11" t="s">
        <v>46</v>
      </c>
      <c r="G470" s="14">
        <v>0</v>
      </c>
      <c r="H470" s="15">
        <v>0</v>
      </c>
      <c r="I470" s="11">
        <v>4</v>
      </c>
      <c r="J470" s="16">
        <v>1.5277777777777779E-3</v>
      </c>
      <c r="K470" s="11"/>
      <c r="L470" s="11"/>
      <c r="M470" s="11" t="s">
        <v>35</v>
      </c>
      <c r="N470" s="11" t="s">
        <v>27</v>
      </c>
      <c r="O470" s="11" t="s">
        <v>56</v>
      </c>
    </row>
    <row r="471" spans="2:15" ht="21" customHeight="1" x14ac:dyDescent="0.3">
      <c r="B471" s="4" t="s">
        <v>74</v>
      </c>
      <c r="C471" s="5">
        <v>3</v>
      </c>
      <c r="D471" s="6" t="s">
        <v>63</v>
      </c>
      <c r="E471" s="4" t="s">
        <v>16</v>
      </c>
      <c r="F471" s="4" t="s">
        <v>49</v>
      </c>
      <c r="G471" s="7">
        <v>0</v>
      </c>
      <c r="H471" s="1">
        <v>0</v>
      </c>
      <c r="I471" s="4">
        <v>1</v>
      </c>
      <c r="J471" s="8">
        <v>1.5277777777777779E-3</v>
      </c>
      <c r="K471" s="4"/>
      <c r="L471" s="4"/>
      <c r="M471" s="4" t="s">
        <v>55</v>
      </c>
      <c r="N471" s="4" t="s">
        <v>27</v>
      </c>
      <c r="O471" s="4" t="s">
        <v>28</v>
      </c>
    </row>
    <row r="472" spans="2:15" ht="21" customHeight="1" x14ac:dyDescent="0.3">
      <c r="B472" s="11" t="s">
        <v>74</v>
      </c>
      <c r="C472" s="12">
        <v>8</v>
      </c>
      <c r="D472" s="13" t="s">
        <v>64</v>
      </c>
      <c r="E472" s="11" t="s">
        <v>16</v>
      </c>
      <c r="F472" s="11" t="s">
        <v>49</v>
      </c>
      <c r="G472" s="14">
        <v>0</v>
      </c>
      <c r="H472" s="15">
        <v>0</v>
      </c>
      <c r="I472" s="11">
        <v>2</v>
      </c>
      <c r="J472" s="16">
        <v>1.5277777777777779E-3</v>
      </c>
      <c r="K472" s="11"/>
      <c r="L472" s="11"/>
      <c r="M472" s="11" t="s">
        <v>35</v>
      </c>
      <c r="N472" s="11" t="s">
        <v>21</v>
      </c>
      <c r="O472" s="11" t="s">
        <v>67</v>
      </c>
    </row>
    <row r="473" spans="2:15" ht="21" customHeight="1" x14ac:dyDescent="0.3">
      <c r="B473" s="4" t="s">
        <v>74</v>
      </c>
      <c r="C473" s="5">
        <v>30</v>
      </c>
      <c r="D473" s="6" t="s">
        <v>23</v>
      </c>
      <c r="E473" s="4" t="s">
        <v>34</v>
      </c>
      <c r="F473" s="4" t="s">
        <v>46</v>
      </c>
      <c r="G473" s="7">
        <v>0</v>
      </c>
      <c r="H473" s="1">
        <v>0</v>
      </c>
      <c r="I473" s="4">
        <v>1</v>
      </c>
      <c r="J473" s="8">
        <v>1.5277777777777779E-3</v>
      </c>
      <c r="K473" s="4"/>
      <c r="L473" s="4"/>
      <c r="M473" s="4" t="s">
        <v>47</v>
      </c>
      <c r="N473" s="4" t="s">
        <v>21</v>
      </c>
      <c r="O473" s="4" t="s">
        <v>57</v>
      </c>
    </row>
    <row r="474" spans="2:15" ht="21" customHeight="1" x14ac:dyDescent="0.3">
      <c r="B474" s="11" t="s">
        <v>74</v>
      </c>
      <c r="C474" s="12">
        <v>27</v>
      </c>
      <c r="D474" s="13" t="s">
        <v>29</v>
      </c>
      <c r="E474" s="11" t="s">
        <v>16</v>
      </c>
      <c r="F474" s="11" t="s">
        <v>46</v>
      </c>
      <c r="G474" s="14">
        <v>0</v>
      </c>
      <c r="H474" s="15">
        <v>0</v>
      </c>
      <c r="I474" s="11">
        <v>3</v>
      </c>
      <c r="J474" s="16">
        <v>1.5277777777777779E-3</v>
      </c>
      <c r="K474" s="11"/>
      <c r="L474" s="11"/>
      <c r="M474" s="11" t="s">
        <v>47</v>
      </c>
      <c r="N474" s="11" t="s">
        <v>39</v>
      </c>
      <c r="O474" s="11" t="s">
        <v>71</v>
      </c>
    </row>
    <row r="475" spans="2:15" ht="21" customHeight="1" x14ac:dyDescent="0.3">
      <c r="B475" s="4" t="s">
        <v>74</v>
      </c>
      <c r="C475" s="5">
        <v>16</v>
      </c>
      <c r="D475" s="6" t="s">
        <v>29</v>
      </c>
      <c r="E475" s="4" t="s">
        <v>30</v>
      </c>
      <c r="F475" s="4" t="s">
        <v>49</v>
      </c>
      <c r="G475" s="7">
        <v>0</v>
      </c>
      <c r="H475" s="1">
        <v>0</v>
      </c>
      <c r="I475" s="4">
        <v>5</v>
      </c>
      <c r="J475" s="8">
        <v>1.5277777777777779E-3</v>
      </c>
      <c r="K475" s="4"/>
      <c r="L475" s="4"/>
      <c r="M475" s="4" t="s">
        <v>26</v>
      </c>
      <c r="N475" s="4" t="s">
        <v>21</v>
      </c>
      <c r="O475" s="4" t="s">
        <v>67</v>
      </c>
    </row>
    <row r="476" spans="2:15" ht="21" customHeight="1" x14ac:dyDescent="0.3">
      <c r="B476" s="11" t="s">
        <v>74</v>
      </c>
      <c r="C476" s="12">
        <v>9</v>
      </c>
      <c r="D476" s="13" t="s">
        <v>41</v>
      </c>
      <c r="E476" s="11" t="s">
        <v>30</v>
      </c>
      <c r="F476" s="11" t="s">
        <v>24</v>
      </c>
      <c r="G476" s="14">
        <v>0</v>
      </c>
      <c r="H476" s="15">
        <v>0</v>
      </c>
      <c r="I476" s="11">
        <v>5</v>
      </c>
      <c r="J476" s="16">
        <v>1.5277777777777779E-3</v>
      </c>
      <c r="K476" s="11"/>
      <c r="L476" s="11"/>
      <c r="M476" s="11" t="s">
        <v>32</v>
      </c>
      <c r="N476" s="11" t="s">
        <v>36</v>
      </c>
      <c r="O476" s="11" t="s">
        <v>69</v>
      </c>
    </row>
    <row r="477" spans="2:15" ht="21" customHeight="1" x14ac:dyDescent="0.3">
      <c r="B477" s="4" t="s">
        <v>74</v>
      </c>
      <c r="C477" s="5">
        <v>9</v>
      </c>
      <c r="D477" s="6" t="s">
        <v>41</v>
      </c>
      <c r="E477" s="4" t="s">
        <v>42</v>
      </c>
      <c r="F477" s="4" t="s">
        <v>24</v>
      </c>
      <c r="G477" s="7">
        <v>0</v>
      </c>
      <c r="H477" s="1">
        <v>0</v>
      </c>
      <c r="I477" s="4">
        <v>2</v>
      </c>
      <c r="J477" s="8">
        <v>1.5277777777777779E-3</v>
      </c>
      <c r="K477" s="4"/>
      <c r="L477" s="4"/>
      <c r="M477" s="4" t="s">
        <v>32</v>
      </c>
      <c r="N477" s="4" t="s">
        <v>21</v>
      </c>
      <c r="O477" s="4" t="s">
        <v>57</v>
      </c>
    </row>
    <row r="478" spans="2:15" ht="21" customHeight="1" x14ac:dyDescent="0.3">
      <c r="B478" s="11" t="s">
        <v>74</v>
      </c>
      <c r="C478" s="12">
        <v>29</v>
      </c>
      <c r="D478" s="13" t="s">
        <v>41</v>
      </c>
      <c r="E478" s="11" t="s">
        <v>16</v>
      </c>
      <c r="F478" s="11" t="s">
        <v>17</v>
      </c>
      <c r="G478" s="14">
        <v>0</v>
      </c>
      <c r="H478" s="15">
        <v>0</v>
      </c>
      <c r="I478" s="11">
        <v>4</v>
      </c>
      <c r="J478" s="16">
        <v>1.5277777777777779E-3</v>
      </c>
      <c r="K478" s="11"/>
      <c r="L478" s="11"/>
      <c r="M478" s="11" t="s">
        <v>47</v>
      </c>
      <c r="N478" s="11" t="s">
        <v>21</v>
      </c>
      <c r="O478" s="11" t="s">
        <v>45</v>
      </c>
    </row>
    <row r="479" spans="2:15" ht="21" customHeight="1" x14ac:dyDescent="0.3">
      <c r="B479" s="4" t="s">
        <v>74</v>
      </c>
      <c r="C479" s="5">
        <v>29</v>
      </c>
      <c r="D479" s="6" t="s">
        <v>41</v>
      </c>
      <c r="E479" s="4" t="s">
        <v>77</v>
      </c>
      <c r="F479" s="4" t="s">
        <v>46</v>
      </c>
      <c r="G479" s="7">
        <v>0</v>
      </c>
      <c r="H479" s="1">
        <v>0</v>
      </c>
      <c r="I479" s="4">
        <v>2</v>
      </c>
      <c r="J479" s="8">
        <v>1.5277777777777779E-3</v>
      </c>
      <c r="K479" s="4"/>
      <c r="L479" s="4"/>
      <c r="M479" s="4" t="s">
        <v>47</v>
      </c>
      <c r="N479" s="4" t="s">
        <v>21</v>
      </c>
      <c r="O479" s="4" t="s">
        <v>70</v>
      </c>
    </row>
    <row r="480" spans="2:15" ht="21" customHeight="1" x14ac:dyDescent="0.3">
      <c r="B480" s="11" t="s">
        <v>74</v>
      </c>
      <c r="C480" s="12">
        <v>21</v>
      </c>
      <c r="D480" s="13" t="s">
        <v>48</v>
      </c>
      <c r="E480" s="11" t="s">
        <v>53</v>
      </c>
      <c r="F480" s="11" t="s">
        <v>46</v>
      </c>
      <c r="G480" s="14">
        <v>0</v>
      </c>
      <c r="H480" s="15">
        <v>0</v>
      </c>
      <c r="I480" s="11">
        <v>2</v>
      </c>
      <c r="J480" s="16">
        <v>1.5277777777777779E-3</v>
      </c>
      <c r="K480" s="11"/>
      <c r="L480" s="11"/>
      <c r="M480" s="11" t="s">
        <v>47</v>
      </c>
      <c r="N480" s="11" t="s">
        <v>36</v>
      </c>
      <c r="O480" s="11" t="s">
        <v>58</v>
      </c>
    </row>
    <row r="481" spans="2:15" ht="21" customHeight="1" x14ac:dyDescent="0.3">
      <c r="B481" s="4" t="s">
        <v>74</v>
      </c>
      <c r="C481" s="5">
        <v>21</v>
      </c>
      <c r="D481" s="6" t="s">
        <v>73</v>
      </c>
      <c r="E481" s="4" t="s">
        <v>16</v>
      </c>
      <c r="F481" s="4" t="s">
        <v>46</v>
      </c>
      <c r="G481" s="7">
        <v>0</v>
      </c>
      <c r="H481" s="1">
        <v>0</v>
      </c>
      <c r="I481" s="4">
        <v>1</v>
      </c>
      <c r="J481" s="8">
        <v>1.5277777777777779E-3</v>
      </c>
      <c r="K481" s="4"/>
      <c r="L481" s="4"/>
      <c r="M481" s="4" t="s">
        <v>47</v>
      </c>
      <c r="N481" s="4" t="s">
        <v>21</v>
      </c>
      <c r="O481" s="4" t="s">
        <v>57</v>
      </c>
    </row>
    <row r="482" spans="2:15" ht="21" customHeight="1" x14ac:dyDescent="0.3">
      <c r="B482" s="11" t="s">
        <v>74</v>
      </c>
      <c r="C482" s="12">
        <v>14</v>
      </c>
      <c r="D482" s="13" t="s">
        <v>62</v>
      </c>
      <c r="E482" s="11" t="s">
        <v>42</v>
      </c>
      <c r="F482" s="11" t="s">
        <v>46</v>
      </c>
      <c r="G482" s="14">
        <v>0</v>
      </c>
      <c r="H482" s="15">
        <v>0</v>
      </c>
      <c r="I482" s="11">
        <v>4</v>
      </c>
      <c r="J482" s="16">
        <v>1.5277777777777779E-3</v>
      </c>
      <c r="K482" s="11"/>
      <c r="L482" s="11"/>
      <c r="M482" s="11" t="s">
        <v>35</v>
      </c>
      <c r="N482" s="11" t="s">
        <v>27</v>
      </c>
      <c r="O482" s="11" t="s">
        <v>56</v>
      </c>
    </row>
    <row r="483" spans="2:15" ht="21" customHeight="1" x14ac:dyDescent="0.3">
      <c r="B483" s="4" t="s">
        <v>74</v>
      </c>
      <c r="C483" s="5">
        <v>3</v>
      </c>
      <c r="D483" s="6" t="s">
        <v>63</v>
      </c>
      <c r="E483" s="4" t="s">
        <v>16</v>
      </c>
      <c r="F483" s="4" t="s">
        <v>49</v>
      </c>
      <c r="G483" s="7">
        <v>0</v>
      </c>
      <c r="H483" s="1">
        <v>0</v>
      </c>
      <c r="I483" s="4">
        <v>1</v>
      </c>
      <c r="J483" s="8">
        <v>1.5277777777777779E-3</v>
      </c>
      <c r="K483" s="4"/>
      <c r="L483" s="4"/>
      <c r="M483" s="4" t="s">
        <v>55</v>
      </c>
      <c r="N483" s="4" t="s">
        <v>27</v>
      </c>
      <c r="O483" s="4" t="s">
        <v>28</v>
      </c>
    </row>
    <row r="484" spans="2:15" ht="21" customHeight="1" x14ac:dyDescent="0.3">
      <c r="B484" s="11" t="s">
        <v>74</v>
      </c>
      <c r="C484" s="12">
        <v>8</v>
      </c>
      <c r="D484" s="13" t="s">
        <v>64</v>
      </c>
      <c r="E484" s="11" t="s">
        <v>16</v>
      </c>
      <c r="F484" s="11" t="s">
        <v>49</v>
      </c>
      <c r="G484" s="14">
        <v>0</v>
      </c>
      <c r="H484" s="15">
        <v>0</v>
      </c>
      <c r="I484" s="11">
        <v>2</v>
      </c>
      <c r="J484" s="16">
        <v>1.5277777777777779E-3</v>
      </c>
      <c r="K484" s="11"/>
      <c r="L484" s="11"/>
      <c r="M484" s="11" t="s">
        <v>35</v>
      </c>
      <c r="N484" s="11" t="s">
        <v>21</v>
      </c>
      <c r="O484" s="11" t="s">
        <v>67</v>
      </c>
    </row>
    <row r="485" spans="2:15" ht="21" customHeight="1" x14ac:dyDescent="0.3">
      <c r="B485" s="4" t="s">
        <v>14</v>
      </c>
      <c r="C485" s="5">
        <v>11</v>
      </c>
      <c r="D485" s="6" t="s">
        <v>59</v>
      </c>
      <c r="E485" s="4" t="s">
        <v>42</v>
      </c>
      <c r="F485" s="4" t="s">
        <v>72</v>
      </c>
      <c r="G485" s="7">
        <v>3</v>
      </c>
      <c r="H485" s="1">
        <v>15000000</v>
      </c>
      <c r="I485" s="4">
        <v>2</v>
      </c>
      <c r="J485" s="8">
        <v>1.5972222222222221E-3</v>
      </c>
      <c r="K485" s="4" t="s">
        <v>18</v>
      </c>
      <c r="L485" s="4" t="s">
        <v>19</v>
      </c>
      <c r="M485" s="4" t="s">
        <v>55</v>
      </c>
      <c r="N485" s="4" t="s">
        <v>36</v>
      </c>
      <c r="O485" s="4" t="s">
        <v>58</v>
      </c>
    </row>
    <row r="486" spans="2:15" ht="21" customHeight="1" x14ac:dyDescent="0.3">
      <c r="B486" s="11" t="s">
        <v>14</v>
      </c>
      <c r="C486" s="12">
        <v>30</v>
      </c>
      <c r="D486" s="13" t="s">
        <v>29</v>
      </c>
      <c r="E486" s="11" t="s">
        <v>53</v>
      </c>
      <c r="F486" s="11" t="s">
        <v>46</v>
      </c>
      <c r="G486" s="14">
        <v>5</v>
      </c>
      <c r="H486" s="15">
        <v>25000000</v>
      </c>
      <c r="I486" s="11">
        <v>2</v>
      </c>
      <c r="J486" s="16">
        <v>1.5972222222222221E-3</v>
      </c>
      <c r="K486" s="11" t="s">
        <v>18</v>
      </c>
      <c r="L486" s="11" t="s">
        <v>43</v>
      </c>
      <c r="M486" s="11" t="s">
        <v>32</v>
      </c>
      <c r="N486" s="11" t="s">
        <v>27</v>
      </c>
      <c r="O486" s="11" t="s">
        <v>33</v>
      </c>
    </row>
    <row r="487" spans="2:15" ht="21" customHeight="1" x14ac:dyDescent="0.3">
      <c r="B487" s="4" t="s">
        <v>14</v>
      </c>
      <c r="C487" s="5">
        <v>1</v>
      </c>
      <c r="D487" s="6" t="s">
        <v>41</v>
      </c>
      <c r="E487" s="4" t="s">
        <v>53</v>
      </c>
      <c r="F487" s="4" t="s">
        <v>46</v>
      </c>
      <c r="G487" s="7">
        <v>4</v>
      </c>
      <c r="H487" s="1">
        <v>11000000</v>
      </c>
      <c r="I487" s="4">
        <v>2</v>
      </c>
      <c r="J487" s="8">
        <v>1.5972222222222221E-3</v>
      </c>
      <c r="K487" s="4" t="s">
        <v>65</v>
      </c>
      <c r="L487" s="4" t="s">
        <v>38</v>
      </c>
      <c r="M487" s="4" t="s">
        <v>55</v>
      </c>
      <c r="N487" s="4" t="s">
        <v>21</v>
      </c>
      <c r="O487" s="4" t="s">
        <v>67</v>
      </c>
    </row>
    <row r="488" spans="2:15" ht="21" customHeight="1" x14ac:dyDescent="0.3">
      <c r="B488" s="11" t="s">
        <v>14</v>
      </c>
      <c r="C488" s="12">
        <v>28</v>
      </c>
      <c r="D488" s="13" t="s">
        <v>41</v>
      </c>
      <c r="E488" s="11" t="s">
        <v>53</v>
      </c>
      <c r="F488" s="11" t="s">
        <v>46</v>
      </c>
      <c r="G488" s="14">
        <v>2</v>
      </c>
      <c r="H488" s="15">
        <v>12000000</v>
      </c>
      <c r="I488" s="11">
        <v>1</v>
      </c>
      <c r="J488" s="16">
        <v>1.5972222222222221E-3</v>
      </c>
      <c r="K488" s="11" t="s">
        <v>18</v>
      </c>
      <c r="L488" s="11" t="s">
        <v>68</v>
      </c>
      <c r="M488" s="11" t="s">
        <v>32</v>
      </c>
      <c r="N488" s="11" t="s">
        <v>21</v>
      </c>
      <c r="O488" s="11" t="s">
        <v>66</v>
      </c>
    </row>
    <row r="489" spans="2:15" ht="21" customHeight="1" x14ac:dyDescent="0.3">
      <c r="B489" s="4" t="s">
        <v>14</v>
      </c>
      <c r="C489" s="5">
        <v>4</v>
      </c>
      <c r="D489" s="6" t="s">
        <v>48</v>
      </c>
      <c r="E489" s="4" t="s">
        <v>16</v>
      </c>
      <c r="F489" s="4" t="s">
        <v>46</v>
      </c>
      <c r="G489" s="7">
        <v>2</v>
      </c>
      <c r="H489" s="1">
        <v>12000000</v>
      </c>
      <c r="I489" s="4">
        <v>5</v>
      </c>
      <c r="J489" s="8">
        <v>1.5972222222222221E-3</v>
      </c>
      <c r="K489" s="4" t="s">
        <v>18</v>
      </c>
      <c r="L489" s="4" t="s">
        <v>51</v>
      </c>
      <c r="M489" s="4" t="s">
        <v>55</v>
      </c>
      <c r="N489" s="4" t="s">
        <v>21</v>
      </c>
      <c r="O489" s="4" t="s">
        <v>22</v>
      </c>
    </row>
    <row r="490" spans="2:15" ht="21" customHeight="1" x14ac:dyDescent="0.3">
      <c r="B490" s="11" t="s">
        <v>14</v>
      </c>
      <c r="C490" s="12">
        <v>19</v>
      </c>
      <c r="D490" s="13" t="s">
        <v>48</v>
      </c>
      <c r="E490" s="11" t="s">
        <v>53</v>
      </c>
      <c r="F490" s="11" t="s">
        <v>46</v>
      </c>
      <c r="G490" s="14">
        <v>5</v>
      </c>
      <c r="H490" s="15">
        <v>21000000</v>
      </c>
      <c r="I490" s="11">
        <v>1</v>
      </c>
      <c r="J490" s="16">
        <v>1.5972222222222221E-3</v>
      </c>
      <c r="K490" s="11" t="s">
        <v>18</v>
      </c>
      <c r="L490" s="11" t="s">
        <v>43</v>
      </c>
      <c r="M490" s="11" t="s">
        <v>35</v>
      </c>
      <c r="N490" s="11" t="s">
        <v>27</v>
      </c>
      <c r="O490" s="11" t="s">
        <v>56</v>
      </c>
    </row>
    <row r="491" spans="2:15" ht="21" customHeight="1" x14ac:dyDescent="0.3">
      <c r="B491" s="4" t="s">
        <v>14</v>
      </c>
      <c r="C491" s="5">
        <v>8</v>
      </c>
      <c r="D491" s="6" t="s">
        <v>48</v>
      </c>
      <c r="E491" s="4" t="s">
        <v>16</v>
      </c>
      <c r="F491" s="4" t="s">
        <v>17</v>
      </c>
      <c r="G491" s="7">
        <v>4</v>
      </c>
      <c r="H491" s="1">
        <v>20000000</v>
      </c>
      <c r="I491" s="4">
        <v>1</v>
      </c>
      <c r="J491" s="8">
        <v>1.5972222222222221E-3</v>
      </c>
      <c r="K491" s="4" t="s">
        <v>18</v>
      </c>
      <c r="L491" s="4" t="s">
        <v>60</v>
      </c>
      <c r="M491" s="4" t="s">
        <v>52</v>
      </c>
      <c r="N491" s="4" t="s">
        <v>39</v>
      </c>
      <c r="O491" s="4" t="s">
        <v>40</v>
      </c>
    </row>
    <row r="492" spans="2:15" ht="21" customHeight="1" x14ac:dyDescent="0.3">
      <c r="B492" s="11" t="s">
        <v>14</v>
      </c>
      <c r="C492" s="12">
        <v>13</v>
      </c>
      <c r="D492" s="13" t="s">
        <v>73</v>
      </c>
      <c r="E492" s="11" t="s">
        <v>34</v>
      </c>
      <c r="F492" s="11" t="s">
        <v>46</v>
      </c>
      <c r="G492" s="14">
        <v>1</v>
      </c>
      <c r="H492" s="15">
        <v>19000000</v>
      </c>
      <c r="I492" s="11">
        <v>3</v>
      </c>
      <c r="J492" s="16">
        <v>1.5972222222222221E-3</v>
      </c>
      <c r="K492" s="11" t="s">
        <v>50</v>
      </c>
      <c r="L492" s="11" t="s">
        <v>19</v>
      </c>
      <c r="M492" s="11" t="s">
        <v>26</v>
      </c>
      <c r="N492" s="11" t="s">
        <v>39</v>
      </c>
      <c r="O492" s="11" t="s">
        <v>40</v>
      </c>
    </row>
    <row r="493" spans="2:15" ht="21" customHeight="1" x14ac:dyDescent="0.3">
      <c r="B493" s="4" t="s">
        <v>14</v>
      </c>
      <c r="C493" s="5">
        <v>16</v>
      </c>
      <c r="D493" s="6" t="s">
        <v>73</v>
      </c>
      <c r="E493" s="4" t="s">
        <v>16</v>
      </c>
      <c r="F493" s="4" t="s">
        <v>17</v>
      </c>
      <c r="G493" s="7">
        <v>3</v>
      </c>
      <c r="H493" s="1">
        <v>15000000</v>
      </c>
      <c r="I493" s="4">
        <v>3</v>
      </c>
      <c r="J493" s="8">
        <v>1.5972222222222221E-3</v>
      </c>
      <c r="K493" s="4" t="s">
        <v>18</v>
      </c>
      <c r="L493" s="4" t="s">
        <v>68</v>
      </c>
      <c r="M493" s="4" t="s">
        <v>44</v>
      </c>
      <c r="N493" s="4" t="s">
        <v>21</v>
      </c>
      <c r="O493" s="4" t="s">
        <v>22</v>
      </c>
    </row>
    <row r="494" spans="2:15" ht="21" customHeight="1" x14ac:dyDescent="0.3">
      <c r="B494" s="11" t="s">
        <v>14</v>
      </c>
      <c r="C494" s="12">
        <v>11</v>
      </c>
      <c r="D494" s="13" t="s">
        <v>59</v>
      </c>
      <c r="E494" s="11" t="s">
        <v>42</v>
      </c>
      <c r="F494" s="11" t="s">
        <v>72</v>
      </c>
      <c r="G494" s="14">
        <v>3</v>
      </c>
      <c r="H494" s="15">
        <v>15000000</v>
      </c>
      <c r="I494" s="11">
        <v>2</v>
      </c>
      <c r="J494" s="16">
        <v>1.5972222222222221E-3</v>
      </c>
      <c r="K494" s="11" t="s">
        <v>18</v>
      </c>
      <c r="L494" s="11" t="s">
        <v>19</v>
      </c>
      <c r="M494" s="11" t="s">
        <v>55</v>
      </c>
      <c r="N494" s="11" t="s">
        <v>36</v>
      </c>
      <c r="O494" s="11" t="s">
        <v>58</v>
      </c>
    </row>
    <row r="495" spans="2:15" ht="21" customHeight="1" x14ac:dyDescent="0.3">
      <c r="B495" s="4" t="s">
        <v>74</v>
      </c>
      <c r="C495" s="5">
        <v>11</v>
      </c>
      <c r="D495" s="6" t="s">
        <v>59</v>
      </c>
      <c r="E495" s="4" t="s">
        <v>77</v>
      </c>
      <c r="F495" s="4" t="s">
        <v>46</v>
      </c>
      <c r="G495" s="7">
        <v>0</v>
      </c>
      <c r="H495" s="1">
        <v>0</v>
      </c>
      <c r="I495" s="4">
        <v>4</v>
      </c>
      <c r="J495" s="8">
        <v>1.5972222222222221E-3</v>
      </c>
      <c r="K495" s="4"/>
      <c r="L495" s="4"/>
      <c r="M495" s="4" t="s">
        <v>35</v>
      </c>
      <c r="N495" s="4" t="s">
        <v>21</v>
      </c>
      <c r="O495" s="4" t="s">
        <v>67</v>
      </c>
    </row>
    <row r="496" spans="2:15" ht="21" customHeight="1" x14ac:dyDescent="0.3">
      <c r="B496" s="11" t="s">
        <v>74</v>
      </c>
      <c r="C496" s="12">
        <v>12</v>
      </c>
      <c r="D496" s="13" t="s">
        <v>62</v>
      </c>
      <c r="E496" s="11" t="s">
        <v>16</v>
      </c>
      <c r="F496" s="11" t="s">
        <v>72</v>
      </c>
      <c r="G496" s="14">
        <v>0</v>
      </c>
      <c r="H496" s="15">
        <v>0</v>
      </c>
      <c r="I496" s="11">
        <v>4</v>
      </c>
      <c r="J496" s="16">
        <v>1.5972222222222221E-3</v>
      </c>
      <c r="K496" s="11"/>
      <c r="L496" s="11"/>
      <c r="M496" s="11" t="s">
        <v>20</v>
      </c>
      <c r="N496" s="11" t="s">
        <v>27</v>
      </c>
      <c r="O496" s="11" t="s">
        <v>56</v>
      </c>
    </row>
    <row r="497" spans="2:15" ht="21" customHeight="1" x14ac:dyDescent="0.3">
      <c r="B497" s="4" t="s">
        <v>74</v>
      </c>
      <c r="C497" s="5">
        <v>30</v>
      </c>
      <c r="D497" s="6" t="s">
        <v>63</v>
      </c>
      <c r="E497" s="4" t="s">
        <v>30</v>
      </c>
      <c r="F497" s="4" t="s">
        <v>46</v>
      </c>
      <c r="G497" s="7">
        <v>0</v>
      </c>
      <c r="H497" s="1">
        <v>0</v>
      </c>
      <c r="I497" s="4">
        <v>3</v>
      </c>
      <c r="J497" s="8">
        <v>1.5972222222222221E-3</v>
      </c>
      <c r="K497" s="4"/>
      <c r="L497" s="4"/>
      <c r="M497" s="4" t="s">
        <v>47</v>
      </c>
      <c r="N497" s="4" t="s">
        <v>36</v>
      </c>
      <c r="O497" s="4" t="s">
        <v>69</v>
      </c>
    </row>
    <row r="498" spans="2:15" ht="21" customHeight="1" x14ac:dyDescent="0.3">
      <c r="B498" s="11" t="s">
        <v>74</v>
      </c>
      <c r="C498" s="12">
        <v>6</v>
      </c>
      <c r="D498" s="13" t="s">
        <v>73</v>
      </c>
      <c r="E498" s="11" t="s">
        <v>30</v>
      </c>
      <c r="F498" s="11" t="s">
        <v>46</v>
      </c>
      <c r="G498" s="14">
        <v>0</v>
      </c>
      <c r="H498" s="15">
        <v>0</v>
      </c>
      <c r="I498" s="11">
        <v>2</v>
      </c>
      <c r="J498" s="16">
        <v>1.5972222222222221E-3</v>
      </c>
      <c r="K498" s="11"/>
      <c r="L498" s="11"/>
      <c r="M498" s="11" t="s">
        <v>52</v>
      </c>
      <c r="N498" s="11" t="s">
        <v>27</v>
      </c>
      <c r="O498" s="11" t="s">
        <v>75</v>
      </c>
    </row>
    <row r="499" spans="2:15" ht="21" customHeight="1" x14ac:dyDescent="0.3">
      <c r="B499" s="4" t="s">
        <v>74</v>
      </c>
      <c r="C499" s="5">
        <v>11</v>
      </c>
      <c r="D499" s="6" t="s">
        <v>59</v>
      </c>
      <c r="E499" s="4" t="s">
        <v>77</v>
      </c>
      <c r="F499" s="4" t="s">
        <v>46</v>
      </c>
      <c r="G499" s="7">
        <v>0</v>
      </c>
      <c r="H499" s="1">
        <v>0</v>
      </c>
      <c r="I499" s="4">
        <v>4</v>
      </c>
      <c r="J499" s="8">
        <v>1.5972222222222221E-3</v>
      </c>
      <c r="K499" s="4"/>
      <c r="L499" s="4"/>
      <c r="M499" s="4" t="s">
        <v>35</v>
      </c>
      <c r="N499" s="4" t="s">
        <v>21</v>
      </c>
      <c r="O499" s="4" t="s">
        <v>67</v>
      </c>
    </row>
    <row r="500" spans="2:15" ht="21" customHeight="1" x14ac:dyDescent="0.3">
      <c r="B500" s="11" t="s">
        <v>74</v>
      </c>
      <c r="C500" s="12">
        <v>12</v>
      </c>
      <c r="D500" s="13" t="s">
        <v>62</v>
      </c>
      <c r="E500" s="11" t="s">
        <v>16</v>
      </c>
      <c r="F500" s="11" t="s">
        <v>72</v>
      </c>
      <c r="G500" s="14">
        <v>0</v>
      </c>
      <c r="H500" s="15">
        <v>0</v>
      </c>
      <c r="I500" s="11">
        <v>4</v>
      </c>
      <c r="J500" s="16">
        <v>1.5972222222222221E-3</v>
      </c>
      <c r="K500" s="11"/>
      <c r="L500" s="11"/>
      <c r="M500" s="11" t="s">
        <v>20</v>
      </c>
      <c r="N500" s="11" t="s">
        <v>27</v>
      </c>
      <c r="O500" s="11" t="s">
        <v>56</v>
      </c>
    </row>
    <row r="501" spans="2:15" ht="21" customHeight="1" x14ac:dyDescent="0.3">
      <c r="B501" s="4" t="s">
        <v>74</v>
      </c>
      <c r="C501" s="5">
        <v>30</v>
      </c>
      <c r="D501" s="6" t="s">
        <v>63</v>
      </c>
      <c r="E501" s="4" t="s">
        <v>30</v>
      </c>
      <c r="F501" s="4" t="s">
        <v>46</v>
      </c>
      <c r="G501" s="7">
        <v>0</v>
      </c>
      <c r="H501" s="1">
        <v>0</v>
      </c>
      <c r="I501" s="4">
        <v>3</v>
      </c>
      <c r="J501" s="8">
        <v>1.5972222222222221E-3</v>
      </c>
      <c r="K501" s="4"/>
      <c r="L501" s="4"/>
      <c r="M501" s="4" t="s">
        <v>47</v>
      </c>
      <c r="N501" s="4" t="s">
        <v>36</v>
      </c>
      <c r="O501" s="4" t="s">
        <v>69</v>
      </c>
    </row>
    <row r="502" spans="2:15" ht="21" customHeight="1" x14ac:dyDescent="0.3">
      <c r="B502" s="11" t="s">
        <v>14</v>
      </c>
      <c r="C502" s="12">
        <v>15</v>
      </c>
      <c r="D502" s="13" t="s">
        <v>59</v>
      </c>
      <c r="E502" s="11" t="s">
        <v>42</v>
      </c>
      <c r="F502" s="11" t="s">
        <v>46</v>
      </c>
      <c r="G502" s="14">
        <v>4</v>
      </c>
      <c r="H502" s="15">
        <v>20000000</v>
      </c>
      <c r="I502" s="11">
        <v>3</v>
      </c>
      <c r="J502" s="16">
        <v>1.6782407407407406E-3</v>
      </c>
      <c r="K502" s="11" t="s">
        <v>65</v>
      </c>
      <c r="L502" s="11" t="s">
        <v>38</v>
      </c>
      <c r="M502" s="11" t="s">
        <v>55</v>
      </c>
      <c r="N502" s="11" t="s">
        <v>21</v>
      </c>
      <c r="O502" s="11" t="s">
        <v>45</v>
      </c>
    </row>
    <row r="503" spans="2:15" ht="21" customHeight="1" x14ac:dyDescent="0.3">
      <c r="B503" s="4" t="s">
        <v>14</v>
      </c>
      <c r="C503" s="5">
        <v>1</v>
      </c>
      <c r="D503" s="6" t="s">
        <v>63</v>
      </c>
      <c r="E503" s="4" t="s">
        <v>42</v>
      </c>
      <c r="F503" s="4" t="s">
        <v>46</v>
      </c>
      <c r="G503" s="7">
        <v>2</v>
      </c>
      <c r="H503" s="1">
        <v>38000000</v>
      </c>
      <c r="I503" s="4">
        <v>2</v>
      </c>
      <c r="J503" s="8">
        <v>1.6782407407407406E-3</v>
      </c>
      <c r="K503" s="4" t="s">
        <v>50</v>
      </c>
      <c r="L503" s="4" t="s">
        <v>25</v>
      </c>
      <c r="M503" s="4" t="s">
        <v>32</v>
      </c>
      <c r="N503" s="4" t="s">
        <v>36</v>
      </c>
      <c r="O503" s="4" t="s">
        <v>37</v>
      </c>
    </row>
    <row r="504" spans="2:15" ht="21" customHeight="1" x14ac:dyDescent="0.3">
      <c r="B504" s="11" t="s">
        <v>14</v>
      </c>
      <c r="C504" s="12">
        <v>1</v>
      </c>
      <c r="D504" s="13" t="s">
        <v>63</v>
      </c>
      <c r="E504" s="11" t="s">
        <v>34</v>
      </c>
      <c r="F504" s="11" t="s">
        <v>24</v>
      </c>
      <c r="G504" s="14">
        <v>2</v>
      </c>
      <c r="H504" s="15">
        <v>12000000</v>
      </c>
      <c r="I504" s="11">
        <v>3</v>
      </c>
      <c r="J504" s="16">
        <v>1.6782407407407406E-3</v>
      </c>
      <c r="K504" s="11" t="s">
        <v>18</v>
      </c>
      <c r="L504" s="11" t="s">
        <v>31</v>
      </c>
      <c r="M504" s="11" t="s">
        <v>52</v>
      </c>
      <c r="N504" s="11" t="s">
        <v>21</v>
      </c>
      <c r="O504" s="11" t="s">
        <v>57</v>
      </c>
    </row>
    <row r="505" spans="2:15" ht="21" customHeight="1" x14ac:dyDescent="0.3">
      <c r="B505" s="4" t="s">
        <v>14</v>
      </c>
      <c r="C505" s="5">
        <v>20</v>
      </c>
      <c r="D505" s="6" t="s">
        <v>63</v>
      </c>
      <c r="E505" s="4" t="s">
        <v>34</v>
      </c>
      <c r="F505" s="4" t="s">
        <v>49</v>
      </c>
      <c r="G505" s="7">
        <v>3</v>
      </c>
      <c r="H505" s="1">
        <v>15000000</v>
      </c>
      <c r="I505" s="4">
        <v>2</v>
      </c>
      <c r="J505" s="8">
        <v>1.6782407407407406E-3</v>
      </c>
      <c r="K505" s="4" t="s">
        <v>18</v>
      </c>
      <c r="L505" s="4" t="s">
        <v>43</v>
      </c>
      <c r="M505" s="4" t="s">
        <v>55</v>
      </c>
      <c r="N505" s="4" t="s">
        <v>21</v>
      </c>
      <c r="O505" s="4" t="s">
        <v>45</v>
      </c>
    </row>
    <row r="506" spans="2:15" ht="21" customHeight="1" x14ac:dyDescent="0.3">
      <c r="B506" s="11" t="s">
        <v>14</v>
      </c>
      <c r="C506" s="12">
        <v>10</v>
      </c>
      <c r="D506" s="13" t="s">
        <v>29</v>
      </c>
      <c r="E506" s="11" t="s">
        <v>34</v>
      </c>
      <c r="F506" s="11" t="s">
        <v>46</v>
      </c>
      <c r="G506" s="14">
        <v>1</v>
      </c>
      <c r="H506" s="15">
        <v>19000000</v>
      </c>
      <c r="I506" s="11">
        <v>3</v>
      </c>
      <c r="J506" s="16">
        <v>1.6782407407407406E-3</v>
      </c>
      <c r="K506" s="11" t="s">
        <v>50</v>
      </c>
      <c r="L506" s="11" t="s">
        <v>60</v>
      </c>
      <c r="M506" s="11" t="s">
        <v>26</v>
      </c>
      <c r="N506" s="11" t="s">
        <v>27</v>
      </c>
      <c r="O506" s="11" t="s">
        <v>56</v>
      </c>
    </row>
    <row r="507" spans="2:15" ht="21" customHeight="1" x14ac:dyDescent="0.3">
      <c r="B507" s="4" t="s">
        <v>14</v>
      </c>
      <c r="C507" s="5">
        <v>14</v>
      </c>
      <c r="D507" s="6" t="s">
        <v>29</v>
      </c>
      <c r="E507" s="4" t="s">
        <v>42</v>
      </c>
      <c r="F507" s="4" t="s">
        <v>17</v>
      </c>
      <c r="G507" s="7">
        <v>3</v>
      </c>
      <c r="H507" s="1">
        <v>11000000</v>
      </c>
      <c r="I507" s="4">
        <v>2</v>
      </c>
      <c r="J507" s="8">
        <v>1.6782407407407406E-3</v>
      </c>
      <c r="K507" s="4" t="s">
        <v>18</v>
      </c>
      <c r="L507" s="4" t="s">
        <v>31</v>
      </c>
      <c r="M507" s="4" t="s">
        <v>35</v>
      </c>
      <c r="N507" s="4" t="s">
        <v>21</v>
      </c>
      <c r="O507" s="4" t="s">
        <v>70</v>
      </c>
    </row>
    <row r="508" spans="2:15" ht="21" customHeight="1" x14ac:dyDescent="0.3">
      <c r="B508" s="11" t="s">
        <v>14</v>
      </c>
      <c r="C508" s="12">
        <v>1</v>
      </c>
      <c r="D508" s="13" t="s">
        <v>41</v>
      </c>
      <c r="E508" s="11" t="s">
        <v>34</v>
      </c>
      <c r="F508" s="11" t="s">
        <v>24</v>
      </c>
      <c r="G508" s="14">
        <v>1</v>
      </c>
      <c r="H508" s="15">
        <v>19000000</v>
      </c>
      <c r="I508" s="11">
        <v>1</v>
      </c>
      <c r="J508" s="16">
        <v>1.6782407407407406E-3</v>
      </c>
      <c r="K508" s="11" t="s">
        <v>50</v>
      </c>
      <c r="L508" s="11" t="s">
        <v>43</v>
      </c>
      <c r="M508" s="11" t="s">
        <v>32</v>
      </c>
      <c r="N508" s="11" t="s">
        <v>27</v>
      </c>
      <c r="O508" s="11" t="s">
        <v>75</v>
      </c>
    </row>
    <row r="509" spans="2:15" ht="21" customHeight="1" x14ac:dyDescent="0.3">
      <c r="B509" s="4" t="s">
        <v>14</v>
      </c>
      <c r="C509" s="5">
        <v>11</v>
      </c>
      <c r="D509" s="6" t="s">
        <v>41</v>
      </c>
      <c r="E509" s="4" t="s">
        <v>16</v>
      </c>
      <c r="F509" s="4" t="s">
        <v>24</v>
      </c>
      <c r="G509" s="7">
        <v>5</v>
      </c>
      <c r="H509" s="1">
        <v>21000000</v>
      </c>
      <c r="I509" s="4">
        <v>1</v>
      </c>
      <c r="J509" s="8">
        <v>1.6782407407407406E-3</v>
      </c>
      <c r="K509" s="4" t="s">
        <v>18</v>
      </c>
      <c r="L509" s="4" t="s">
        <v>19</v>
      </c>
      <c r="M509" s="4" t="s">
        <v>32</v>
      </c>
      <c r="N509" s="4" t="s">
        <v>21</v>
      </c>
      <c r="O509" s="4" t="s">
        <v>70</v>
      </c>
    </row>
    <row r="510" spans="2:15" ht="21" customHeight="1" x14ac:dyDescent="0.3">
      <c r="B510" s="11" t="s">
        <v>14</v>
      </c>
      <c r="C510" s="12">
        <v>15</v>
      </c>
      <c r="D510" s="13" t="s">
        <v>41</v>
      </c>
      <c r="E510" s="11" t="s">
        <v>16</v>
      </c>
      <c r="F510" s="11" t="s">
        <v>46</v>
      </c>
      <c r="G510" s="14">
        <v>2</v>
      </c>
      <c r="H510" s="15">
        <v>10000000</v>
      </c>
      <c r="I510" s="11">
        <v>4</v>
      </c>
      <c r="J510" s="16">
        <v>1.6782407407407406E-3</v>
      </c>
      <c r="K510" s="11" t="s">
        <v>18</v>
      </c>
      <c r="L510" s="11" t="s">
        <v>51</v>
      </c>
      <c r="M510" s="11" t="s">
        <v>55</v>
      </c>
      <c r="N510" s="11" t="s">
        <v>39</v>
      </c>
      <c r="O510" s="11" t="s">
        <v>71</v>
      </c>
    </row>
    <row r="511" spans="2:15" ht="21" customHeight="1" x14ac:dyDescent="0.3">
      <c r="B511" s="4" t="s">
        <v>14</v>
      </c>
      <c r="C511" s="5">
        <v>29</v>
      </c>
      <c r="D511" s="6" t="s">
        <v>41</v>
      </c>
      <c r="E511" s="4" t="s">
        <v>16</v>
      </c>
      <c r="F511" s="4" t="s">
        <v>46</v>
      </c>
      <c r="G511" s="7">
        <v>3</v>
      </c>
      <c r="H511" s="1">
        <v>15000000</v>
      </c>
      <c r="I511" s="4">
        <v>1</v>
      </c>
      <c r="J511" s="8">
        <v>1.6782407407407406E-3</v>
      </c>
      <c r="K511" s="4" t="s">
        <v>18</v>
      </c>
      <c r="L511" s="4" t="s">
        <v>43</v>
      </c>
      <c r="M511" s="4" t="s">
        <v>20</v>
      </c>
      <c r="N511" s="4" t="s">
        <v>21</v>
      </c>
      <c r="O511" s="4" t="s">
        <v>70</v>
      </c>
    </row>
    <row r="512" spans="2:15" ht="21" customHeight="1" x14ac:dyDescent="0.3">
      <c r="B512" s="11" t="s">
        <v>14</v>
      </c>
      <c r="C512" s="12">
        <v>8</v>
      </c>
      <c r="D512" s="13" t="s">
        <v>41</v>
      </c>
      <c r="E512" s="11" t="s">
        <v>34</v>
      </c>
      <c r="F512" s="11" t="s">
        <v>46</v>
      </c>
      <c r="G512" s="14">
        <v>2</v>
      </c>
      <c r="H512" s="15">
        <v>12000000</v>
      </c>
      <c r="I512" s="11">
        <v>5</v>
      </c>
      <c r="J512" s="16">
        <v>1.6782407407407406E-3</v>
      </c>
      <c r="K512" s="11" t="s">
        <v>18</v>
      </c>
      <c r="L512" s="11" t="s">
        <v>54</v>
      </c>
      <c r="M512" s="11" t="s">
        <v>26</v>
      </c>
      <c r="N512" s="11" t="s">
        <v>27</v>
      </c>
      <c r="O512" s="11" t="s">
        <v>56</v>
      </c>
    </row>
    <row r="513" spans="2:15" ht="21" customHeight="1" x14ac:dyDescent="0.3">
      <c r="B513" s="4" t="s">
        <v>14</v>
      </c>
      <c r="C513" s="5">
        <v>8</v>
      </c>
      <c r="D513" s="6" t="s">
        <v>41</v>
      </c>
      <c r="E513" s="4" t="s">
        <v>42</v>
      </c>
      <c r="F513" s="4" t="s">
        <v>17</v>
      </c>
      <c r="G513" s="7">
        <v>5</v>
      </c>
      <c r="H513" s="1">
        <v>25000000</v>
      </c>
      <c r="I513" s="4">
        <v>3</v>
      </c>
      <c r="J513" s="8">
        <v>1.6782407407407406E-3</v>
      </c>
      <c r="K513" s="4" t="s">
        <v>18</v>
      </c>
      <c r="L513" s="4" t="s">
        <v>43</v>
      </c>
      <c r="M513" s="4" t="s">
        <v>52</v>
      </c>
      <c r="N513" s="4" t="s">
        <v>27</v>
      </c>
      <c r="O513" s="4" t="s">
        <v>56</v>
      </c>
    </row>
    <row r="514" spans="2:15" ht="21" customHeight="1" x14ac:dyDescent="0.3">
      <c r="B514" s="11" t="s">
        <v>14</v>
      </c>
      <c r="C514" s="12">
        <v>10</v>
      </c>
      <c r="D514" s="13" t="s">
        <v>48</v>
      </c>
      <c r="E514" s="11" t="s">
        <v>42</v>
      </c>
      <c r="F514" s="11" t="s">
        <v>24</v>
      </c>
      <c r="G514" s="14">
        <v>1</v>
      </c>
      <c r="H514" s="15">
        <v>7000000</v>
      </c>
      <c r="I514" s="11">
        <v>6</v>
      </c>
      <c r="J514" s="16">
        <v>1.6782407407407406E-3</v>
      </c>
      <c r="K514" s="11" t="s">
        <v>18</v>
      </c>
      <c r="L514" s="11" t="s">
        <v>19</v>
      </c>
      <c r="M514" s="11" t="s">
        <v>47</v>
      </c>
      <c r="N514" s="11" t="s">
        <v>36</v>
      </c>
      <c r="O514" s="11" t="s">
        <v>69</v>
      </c>
    </row>
    <row r="515" spans="2:15" ht="21" customHeight="1" x14ac:dyDescent="0.3">
      <c r="B515" s="4" t="s">
        <v>14</v>
      </c>
      <c r="C515" s="5">
        <v>11</v>
      </c>
      <c r="D515" s="6" t="s">
        <v>48</v>
      </c>
      <c r="E515" s="4" t="s">
        <v>30</v>
      </c>
      <c r="F515" s="4" t="s">
        <v>24</v>
      </c>
      <c r="G515" s="7">
        <v>4</v>
      </c>
      <c r="H515" s="1">
        <v>20000000</v>
      </c>
      <c r="I515" s="4">
        <v>2</v>
      </c>
      <c r="J515" s="8">
        <v>1.6782407407407406E-3</v>
      </c>
      <c r="K515" s="4" t="s">
        <v>18</v>
      </c>
      <c r="L515" s="4" t="s">
        <v>51</v>
      </c>
      <c r="M515" s="4" t="s">
        <v>35</v>
      </c>
      <c r="N515" s="4" t="s">
        <v>27</v>
      </c>
      <c r="O515" s="4" t="s">
        <v>33</v>
      </c>
    </row>
    <row r="516" spans="2:15" ht="21" customHeight="1" x14ac:dyDescent="0.3">
      <c r="B516" s="11" t="s">
        <v>14</v>
      </c>
      <c r="C516" s="12">
        <v>22</v>
      </c>
      <c r="D516" s="13" t="s">
        <v>48</v>
      </c>
      <c r="E516" s="11" t="s">
        <v>77</v>
      </c>
      <c r="F516" s="11" t="s">
        <v>17</v>
      </c>
      <c r="G516" s="14">
        <v>2</v>
      </c>
      <c r="H516" s="15">
        <v>12000000</v>
      </c>
      <c r="I516" s="11">
        <v>2</v>
      </c>
      <c r="J516" s="16">
        <v>1.6782407407407406E-3</v>
      </c>
      <c r="K516" s="11" t="s">
        <v>18</v>
      </c>
      <c r="L516" s="11" t="s">
        <v>60</v>
      </c>
      <c r="M516" s="11" t="s">
        <v>35</v>
      </c>
      <c r="N516" s="11" t="s">
        <v>27</v>
      </c>
      <c r="O516" s="11" t="s">
        <v>28</v>
      </c>
    </row>
    <row r="517" spans="2:15" ht="21" customHeight="1" x14ac:dyDescent="0.3">
      <c r="B517" s="4" t="s">
        <v>14</v>
      </c>
      <c r="C517" s="5">
        <v>18</v>
      </c>
      <c r="D517" s="6" t="s">
        <v>48</v>
      </c>
      <c r="E517" s="4" t="s">
        <v>34</v>
      </c>
      <c r="F517" s="4" t="s">
        <v>72</v>
      </c>
      <c r="G517" s="7">
        <v>5</v>
      </c>
      <c r="H517" s="1">
        <v>25000000</v>
      </c>
      <c r="I517" s="4">
        <v>4</v>
      </c>
      <c r="J517" s="8">
        <v>1.6782407407407406E-3</v>
      </c>
      <c r="K517" s="4" t="s">
        <v>18</v>
      </c>
      <c r="L517" s="4" t="s">
        <v>19</v>
      </c>
      <c r="M517" s="4" t="s">
        <v>47</v>
      </c>
      <c r="N517" s="4" t="s">
        <v>36</v>
      </c>
      <c r="O517" s="4" t="s">
        <v>58</v>
      </c>
    </row>
    <row r="518" spans="2:15" ht="21" customHeight="1" x14ac:dyDescent="0.3">
      <c r="B518" s="11" t="s">
        <v>14</v>
      </c>
      <c r="C518" s="12">
        <v>15</v>
      </c>
      <c r="D518" s="13" t="s">
        <v>59</v>
      </c>
      <c r="E518" s="11" t="s">
        <v>42</v>
      </c>
      <c r="F518" s="11" t="s">
        <v>46</v>
      </c>
      <c r="G518" s="14">
        <v>4</v>
      </c>
      <c r="H518" s="15">
        <v>20000000</v>
      </c>
      <c r="I518" s="11">
        <v>3</v>
      </c>
      <c r="J518" s="16">
        <v>1.6782407407407406E-3</v>
      </c>
      <c r="K518" s="11" t="s">
        <v>65</v>
      </c>
      <c r="L518" s="11" t="s">
        <v>38</v>
      </c>
      <c r="M518" s="11" t="s">
        <v>55</v>
      </c>
      <c r="N518" s="11" t="s">
        <v>21</v>
      </c>
      <c r="O518" s="11" t="s">
        <v>45</v>
      </c>
    </row>
    <row r="519" spans="2:15" ht="21" customHeight="1" x14ac:dyDescent="0.3">
      <c r="B519" s="4" t="s">
        <v>14</v>
      </c>
      <c r="C519" s="5">
        <v>1</v>
      </c>
      <c r="D519" s="6" t="s">
        <v>63</v>
      </c>
      <c r="E519" s="4" t="s">
        <v>42</v>
      </c>
      <c r="F519" s="4" t="s">
        <v>46</v>
      </c>
      <c r="G519" s="7">
        <v>2</v>
      </c>
      <c r="H519" s="1">
        <v>38000000</v>
      </c>
      <c r="I519" s="4">
        <v>2</v>
      </c>
      <c r="J519" s="8">
        <v>1.6782407407407406E-3</v>
      </c>
      <c r="K519" s="4" t="s">
        <v>50</v>
      </c>
      <c r="L519" s="4" t="s">
        <v>25</v>
      </c>
      <c r="M519" s="4" t="s">
        <v>32</v>
      </c>
      <c r="N519" s="4" t="s">
        <v>36</v>
      </c>
      <c r="O519" s="4" t="s">
        <v>37</v>
      </c>
    </row>
    <row r="520" spans="2:15" ht="21" customHeight="1" x14ac:dyDescent="0.3">
      <c r="B520" s="11" t="s">
        <v>14</v>
      </c>
      <c r="C520" s="12">
        <v>1</v>
      </c>
      <c r="D520" s="13" t="s">
        <v>63</v>
      </c>
      <c r="E520" s="11" t="s">
        <v>34</v>
      </c>
      <c r="F520" s="11" t="s">
        <v>24</v>
      </c>
      <c r="G520" s="14">
        <v>2</v>
      </c>
      <c r="H520" s="15">
        <v>12000000</v>
      </c>
      <c r="I520" s="11">
        <v>3</v>
      </c>
      <c r="J520" s="16">
        <v>1.6782407407407406E-3</v>
      </c>
      <c r="K520" s="11" t="s">
        <v>18</v>
      </c>
      <c r="L520" s="11" t="s">
        <v>31</v>
      </c>
      <c r="M520" s="11" t="s">
        <v>52</v>
      </c>
      <c r="N520" s="11" t="s">
        <v>21</v>
      </c>
      <c r="O520" s="11" t="s">
        <v>57</v>
      </c>
    </row>
    <row r="521" spans="2:15" ht="21" customHeight="1" x14ac:dyDescent="0.3">
      <c r="B521" s="4" t="s">
        <v>14</v>
      </c>
      <c r="C521" s="5">
        <v>20</v>
      </c>
      <c r="D521" s="6" t="s">
        <v>63</v>
      </c>
      <c r="E521" s="4" t="s">
        <v>34</v>
      </c>
      <c r="F521" s="4" t="s">
        <v>49</v>
      </c>
      <c r="G521" s="7">
        <v>3</v>
      </c>
      <c r="H521" s="1">
        <v>15000000</v>
      </c>
      <c r="I521" s="4">
        <v>2</v>
      </c>
      <c r="J521" s="8">
        <v>1.6782407407407406E-3</v>
      </c>
      <c r="K521" s="4" t="s">
        <v>18</v>
      </c>
      <c r="L521" s="4" t="s">
        <v>43</v>
      </c>
      <c r="M521" s="4" t="s">
        <v>55</v>
      </c>
      <c r="N521" s="4" t="s">
        <v>21</v>
      </c>
      <c r="O521" s="4" t="s">
        <v>45</v>
      </c>
    </row>
    <row r="522" spans="2:15" ht="21" customHeight="1" x14ac:dyDescent="0.3">
      <c r="B522" s="11" t="s">
        <v>74</v>
      </c>
      <c r="C522" s="12">
        <v>12</v>
      </c>
      <c r="D522" s="13" t="s">
        <v>63</v>
      </c>
      <c r="E522" s="11" t="s">
        <v>16</v>
      </c>
      <c r="F522" s="11" t="s">
        <v>24</v>
      </c>
      <c r="G522" s="14">
        <v>0</v>
      </c>
      <c r="H522" s="15">
        <v>0</v>
      </c>
      <c r="I522" s="11">
        <v>2</v>
      </c>
      <c r="J522" s="16">
        <v>1.6782407407407406E-3</v>
      </c>
      <c r="K522" s="11"/>
      <c r="L522" s="11"/>
      <c r="M522" s="11" t="s">
        <v>47</v>
      </c>
      <c r="N522" s="11" t="s">
        <v>39</v>
      </c>
      <c r="O522" s="11" t="s">
        <v>71</v>
      </c>
    </row>
    <row r="523" spans="2:15" ht="21" customHeight="1" x14ac:dyDescent="0.3">
      <c r="B523" s="4" t="s">
        <v>74</v>
      </c>
      <c r="C523" s="5">
        <v>14</v>
      </c>
      <c r="D523" s="6" t="s">
        <v>64</v>
      </c>
      <c r="E523" s="4" t="s">
        <v>16</v>
      </c>
      <c r="F523" s="4" t="s">
        <v>46</v>
      </c>
      <c r="G523" s="7">
        <v>0</v>
      </c>
      <c r="H523" s="1">
        <v>0</v>
      </c>
      <c r="I523" s="4">
        <v>1</v>
      </c>
      <c r="J523" s="8">
        <v>1.6782407407407406E-3</v>
      </c>
      <c r="K523" s="4"/>
      <c r="L523" s="4"/>
      <c r="M523" s="4" t="s">
        <v>55</v>
      </c>
      <c r="N523" s="4" t="s">
        <v>27</v>
      </c>
      <c r="O523" s="4" t="s">
        <v>33</v>
      </c>
    </row>
    <row r="524" spans="2:15" ht="21" customHeight="1" x14ac:dyDescent="0.3">
      <c r="B524" s="11" t="s">
        <v>74</v>
      </c>
      <c r="C524" s="12">
        <v>15</v>
      </c>
      <c r="D524" s="13" t="s">
        <v>23</v>
      </c>
      <c r="E524" s="11" t="s">
        <v>16</v>
      </c>
      <c r="F524" s="11" t="s">
        <v>24</v>
      </c>
      <c r="G524" s="14">
        <v>0</v>
      </c>
      <c r="H524" s="15">
        <v>0</v>
      </c>
      <c r="I524" s="11">
        <v>2</v>
      </c>
      <c r="J524" s="16">
        <v>1.6782407407407406E-3</v>
      </c>
      <c r="K524" s="11"/>
      <c r="L524" s="11"/>
      <c r="M524" s="11" t="s">
        <v>44</v>
      </c>
      <c r="N524" s="11" t="s">
        <v>21</v>
      </c>
      <c r="O524" s="11" t="s">
        <v>66</v>
      </c>
    </row>
    <row r="525" spans="2:15" ht="21" customHeight="1" x14ac:dyDescent="0.3">
      <c r="B525" s="4" t="s">
        <v>74</v>
      </c>
      <c r="C525" s="5">
        <v>20</v>
      </c>
      <c r="D525" s="6" t="s">
        <v>29</v>
      </c>
      <c r="E525" s="4" t="s">
        <v>53</v>
      </c>
      <c r="F525" s="4" t="s">
        <v>24</v>
      </c>
      <c r="G525" s="7">
        <v>0</v>
      </c>
      <c r="H525" s="1">
        <v>0</v>
      </c>
      <c r="I525" s="4">
        <v>1</v>
      </c>
      <c r="J525" s="8">
        <v>1.6782407407407406E-3</v>
      </c>
      <c r="K525" s="4"/>
      <c r="L525" s="4"/>
      <c r="M525" s="4" t="s">
        <v>26</v>
      </c>
      <c r="N525" s="4" t="s">
        <v>36</v>
      </c>
      <c r="O525" s="4" t="s">
        <v>58</v>
      </c>
    </row>
    <row r="526" spans="2:15" ht="21" customHeight="1" x14ac:dyDescent="0.3">
      <c r="B526" s="11" t="s">
        <v>74</v>
      </c>
      <c r="C526" s="12">
        <v>2</v>
      </c>
      <c r="D526" s="13" t="s">
        <v>41</v>
      </c>
      <c r="E526" s="11" t="s">
        <v>16</v>
      </c>
      <c r="F526" s="11" t="s">
        <v>24</v>
      </c>
      <c r="G526" s="14">
        <v>0</v>
      </c>
      <c r="H526" s="15">
        <v>0</v>
      </c>
      <c r="I526" s="11">
        <v>2</v>
      </c>
      <c r="J526" s="16">
        <v>1.6782407407407406E-3</v>
      </c>
      <c r="K526" s="11"/>
      <c r="L526" s="11"/>
      <c r="M526" s="11" t="s">
        <v>32</v>
      </c>
      <c r="N526" s="11" t="s">
        <v>27</v>
      </c>
      <c r="O526" s="11" t="s">
        <v>79</v>
      </c>
    </row>
    <row r="527" spans="2:15" ht="21" customHeight="1" x14ac:dyDescent="0.3">
      <c r="B527" s="4" t="s">
        <v>74</v>
      </c>
      <c r="C527" s="5">
        <v>21</v>
      </c>
      <c r="D527" s="6" t="s">
        <v>41</v>
      </c>
      <c r="E527" s="4" t="s">
        <v>34</v>
      </c>
      <c r="F527" s="4" t="s">
        <v>46</v>
      </c>
      <c r="G527" s="7">
        <v>0</v>
      </c>
      <c r="H527" s="1">
        <v>0</v>
      </c>
      <c r="I527" s="4">
        <v>3</v>
      </c>
      <c r="J527" s="8">
        <v>1.6782407407407406E-3</v>
      </c>
      <c r="K527" s="4"/>
      <c r="L527" s="4"/>
      <c r="M527" s="4" t="s">
        <v>32</v>
      </c>
      <c r="N527" s="4" t="s">
        <v>21</v>
      </c>
      <c r="O527" s="4" t="s">
        <v>66</v>
      </c>
    </row>
    <row r="528" spans="2:15" ht="21" customHeight="1" x14ac:dyDescent="0.3">
      <c r="B528" s="11" t="s">
        <v>74</v>
      </c>
      <c r="C528" s="12">
        <v>23</v>
      </c>
      <c r="D528" s="13" t="s">
        <v>41</v>
      </c>
      <c r="E528" s="11" t="s">
        <v>53</v>
      </c>
      <c r="F528" s="11" t="s">
        <v>46</v>
      </c>
      <c r="G528" s="14">
        <v>0</v>
      </c>
      <c r="H528" s="15">
        <v>0</v>
      </c>
      <c r="I528" s="11">
        <v>3</v>
      </c>
      <c r="J528" s="16">
        <v>1.6782407407407406E-3</v>
      </c>
      <c r="K528" s="11"/>
      <c r="L528" s="11"/>
      <c r="M528" s="11" t="s">
        <v>52</v>
      </c>
      <c r="N528" s="11" t="s">
        <v>39</v>
      </c>
      <c r="O528" s="11" t="s">
        <v>71</v>
      </c>
    </row>
    <row r="529" spans="2:15" ht="21" customHeight="1" x14ac:dyDescent="0.3">
      <c r="B529" s="4" t="s">
        <v>74</v>
      </c>
      <c r="C529" s="5">
        <v>14</v>
      </c>
      <c r="D529" s="6" t="s">
        <v>48</v>
      </c>
      <c r="E529" s="4" t="s">
        <v>16</v>
      </c>
      <c r="F529" s="4" t="s">
        <v>46</v>
      </c>
      <c r="G529" s="7">
        <v>0</v>
      </c>
      <c r="H529" s="1">
        <v>0</v>
      </c>
      <c r="I529" s="4">
        <v>2</v>
      </c>
      <c r="J529" s="8">
        <v>1.6782407407407406E-3</v>
      </c>
      <c r="K529" s="4"/>
      <c r="L529" s="4"/>
      <c r="M529" s="4" t="s">
        <v>47</v>
      </c>
      <c r="N529" s="4" t="s">
        <v>27</v>
      </c>
      <c r="O529" s="4" t="s">
        <v>56</v>
      </c>
    </row>
    <row r="530" spans="2:15" ht="21" customHeight="1" x14ac:dyDescent="0.3">
      <c r="B530" s="11" t="s">
        <v>74</v>
      </c>
      <c r="C530" s="12">
        <v>16</v>
      </c>
      <c r="D530" s="13" t="s">
        <v>48</v>
      </c>
      <c r="E530" s="11" t="s">
        <v>42</v>
      </c>
      <c r="F530" s="11" t="s">
        <v>46</v>
      </c>
      <c r="G530" s="14">
        <v>0</v>
      </c>
      <c r="H530" s="15">
        <v>0</v>
      </c>
      <c r="I530" s="11">
        <v>3</v>
      </c>
      <c r="J530" s="16">
        <v>1.6782407407407406E-3</v>
      </c>
      <c r="K530" s="11"/>
      <c r="L530" s="11"/>
      <c r="M530" s="11" t="s">
        <v>47</v>
      </c>
      <c r="N530" s="11" t="s">
        <v>36</v>
      </c>
      <c r="O530" s="11" t="s">
        <v>69</v>
      </c>
    </row>
    <row r="531" spans="2:15" ht="21" customHeight="1" x14ac:dyDescent="0.3">
      <c r="B531" s="4" t="s">
        <v>74</v>
      </c>
      <c r="C531" s="5">
        <v>12</v>
      </c>
      <c r="D531" s="6" t="s">
        <v>63</v>
      </c>
      <c r="E531" s="4" t="s">
        <v>16</v>
      </c>
      <c r="F531" s="4" t="s">
        <v>24</v>
      </c>
      <c r="G531" s="7">
        <v>0</v>
      </c>
      <c r="H531" s="1">
        <v>0</v>
      </c>
      <c r="I531" s="4">
        <v>2</v>
      </c>
      <c r="J531" s="8">
        <v>1.6782407407407406E-3</v>
      </c>
      <c r="K531" s="4"/>
      <c r="L531" s="4"/>
      <c r="M531" s="4" t="s">
        <v>47</v>
      </c>
      <c r="N531" s="4" t="s">
        <v>39</v>
      </c>
      <c r="O531" s="4" t="s">
        <v>71</v>
      </c>
    </row>
    <row r="532" spans="2:15" ht="21" customHeight="1" x14ac:dyDescent="0.3">
      <c r="B532" s="11" t="s">
        <v>74</v>
      </c>
      <c r="C532" s="12">
        <v>14</v>
      </c>
      <c r="D532" s="13" t="s">
        <v>64</v>
      </c>
      <c r="E532" s="11" t="s">
        <v>16</v>
      </c>
      <c r="F532" s="11" t="s">
        <v>46</v>
      </c>
      <c r="G532" s="14">
        <v>0</v>
      </c>
      <c r="H532" s="15">
        <v>0</v>
      </c>
      <c r="I532" s="11">
        <v>1</v>
      </c>
      <c r="J532" s="16">
        <v>1.6782407407407406E-3</v>
      </c>
      <c r="K532" s="11"/>
      <c r="L532" s="11"/>
      <c r="M532" s="11" t="s">
        <v>55</v>
      </c>
      <c r="N532" s="11" t="s">
        <v>27</v>
      </c>
      <c r="O532" s="11" t="s">
        <v>33</v>
      </c>
    </row>
    <row r="533" spans="2:15" ht="21" customHeight="1" x14ac:dyDescent="0.3">
      <c r="B533" s="4" t="s">
        <v>14</v>
      </c>
      <c r="C533" s="5">
        <v>11</v>
      </c>
      <c r="D533" s="6" t="s">
        <v>59</v>
      </c>
      <c r="E533" s="4" t="s">
        <v>42</v>
      </c>
      <c r="F533" s="4" t="s">
        <v>46</v>
      </c>
      <c r="G533" s="7">
        <v>5</v>
      </c>
      <c r="H533" s="1">
        <v>20000000</v>
      </c>
      <c r="I533" s="4">
        <v>1</v>
      </c>
      <c r="J533" s="8">
        <v>1.736111111111111E-3</v>
      </c>
      <c r="K533" s="4" t="s">
        <v>18</v>
      </c>
      <c r="L533" s="4" t="s">
        <v>31</v>
      </c>
      <c r="M533" s="4" t="s">
        <v>52</v>
      </c>
      <c r="N533" s="4" t="s">
        <v>36</v>
      </c>
      <c r="O533" s="4" t="s">
        <v>58</v>
      </c>
    </row>
    <row r="534" spans="2:15" ht="21" customHeight="1" x14ac:dyDescent="0.3">
      <c r="B534" s="11" t="s">
        <v>14</v>
      </c>
      <c r="C534" s="12">
        <v>14</v>
      </c>
      <c r="D534" s="13" t="s">
        <v>61</v>
      </c>
      <c r="E534" s="11" t="s">
        <v>53</v>
      </c>
      <c r="F534" s="11" t="s">
        <v>46</v>
      </c>
      <c r="G534" s="14">
        <v>2</v>
      </c>
      <c r="H534" s="15">
        <v>10000000</v>
      </c>
      <c r="I534" s="11">
        <v>7</v>
      </c>
      <c r="J534" s="16">
        <v>1.736111111111111E-3</v>
      </c>
      <c r="K534" s="11" t="s">
        <v>18</v>
      </c>
      <c r="L534" s="11" t="s">
        <v>31</v>
      </c>
      <c r="M534" s="11" t="s">
        <v>47</v>
      </c>
      <c r="N534" s="11" t="s">
        <v>21</v>
      </c>
      <c r="O534" s="11" t="s">
        <v>57</v>
      </c>
    </row>
    <row r="535" spans="2:15" ht="21" customHeight="1" x14ac:dyDescent="0.3">
      <c r="B535" s="4" t="s">
        <v>14</v>
      </c>
      <c r="C535" s="5">
        <v>10</v>
      </c>
      <c r="D535" s="6" t="s">
        <v>76</v>
      </c>
      <c r="E535" s="4" t="s">
        <v>34</v>
      </c>
      <c r="F535" s="4" t="s">
        <v>24</v>
      </c>
      <c r="G535" s="7">
        <v>1</v>
      </c>
      <c r="H535" s="1">
        <v>7000000</v>
      </c>
      <c r="I535" s="4">
        <v>1</v>
      </c>
      <c r="J535" s="8">
        <v>1.736111111111111E-3</v>
      </c>
      <c r="K535" s="4" t="s">
        <v>18</v>
      </c>
      <c r="L535" s="4" t="s">
        <v>51</v>
      </c>
      <c r="M535" s="4" t="s">
        <v>32</v>
      </c>
      <c r="N535" s="4" t="s">
        <v>21</v>
      </c>
      <c r="O535" s="4" t="s">
        <v>57</v>
      </c>
    </row>
    <row r="536" spans="2:15" ht="21" customHeight="1" x14ac:dyDescent="0.3">
      <c r="B536" s="11" t="s">
        <v>14</v>
      </c>
      <c r="C536" s="12">
        <v>12</v>
      </c>
      <c r="D536" s="13" t="s">
        <v>76</v>
      </c>
      <c r="E536" s="11" t="s">
        <v>30</v>
      </c>
      <c r="F536" s="11" t="s">
        <v>24</v>
      </c>
      <c r="G536" s="14">
        <v>5</v>
      </c>
      <c r="H536" s="15">
        <v>25000000</v>
      </c>
      <c r="I536" s="11">
        <v>2</v>
      </c>
      <c r="J536" s="16">
        <v>1.736111111111111E-3</v>
      </c>
      <c r="K536" s="11" t="s">
        <v>18</v>
      </c>
      <c r="L536" s="11" t="s">
        <v>19</v>
      </c>
      <c r="M536" s="11" t="s">
        <v>20</v>
      </c>
      <c r="N536" s="11" t="s">
        <v>36</v>
      </c>
      <c r="O536" s="11" t="s">
        <v>69</v>
      </c>
    </row>
    <row r="537" spans="2:15" ht="21" customHeight="1" x14ac:dyDescent="0.3">
      <c r="B537" s="4" t="s">
        <v>14</v>
      </c>
      <c r="C537" s="5">
        <v>22</v>
      </c>
      <c r="D537" s="6" t="s">
        <v>29</v>
      </c>
      <c r="E537" s="4" t="s">
        <v>34</v>
      </c>
      <c r="F537" s="4" t="s">
        <v>46</v>
      </c>
      <c r="G537" s="7">
        <v>1</v>
      </c>
      <c r="H537" s="1">
        <v>19000000</v>
      </c>
      <c r="I537" s="4">
        <v>2</v>
      </c>
      <c r="J537" s="8">
        <v>1.736111111111111E-3</v>
      </c>
      <c r="K537" s="4" t="s">
        <v>50</v>
      </c>
      <c r="L537" s="4" t="s">
        <v>43</v>
      </c>
      <c r="M537" s="4" t="s">
        <v>55</v>
      </c>
      <c r="N537" s="4" t="s">
        <v>39</v>
      </c>
      <c r="O537" s="4" t="s">
        <v>71</v>
      </c>
    </row>
    <row r="538" spans="2:15" ht="21" customHeight="1" x14ac:dyDescent="0.3">
      <c r="B538" s="11" t="s">
        <v>14</v>
      </c>
      <c r="C538" s="12">
        <v>27</v>
      </c>
      <c r="D538" s="13" t="s">
        <v>29</v>
      </c>
      <c r="E538" s="11" t="s">
        <v>16</v>
      </c>
      <c r="F538" s="11" t="s">
        <v>46</v>
      </c>
      <c r="G538" s="14">
        <v>5</v>
      </c>
      <c r="H538" s="15">
        <v>21000000</v>
      </c>
      <c r="I538" s="11">
        <v>3</v>
      </c>
      <c r="J538" s="16">
        <v>1.736111111111111E-3</v>
      </c>
      <c r="K538" s="11" t="s">
        <v>18</v>
      </c>
      <c r="L538" s="11" t="s">
        <v>43</v>
      </c>
      <c r="M538" s="11" t="s">
        <v>47</v>
      </c>
      <c r="N538" s="11" t="s">
        <v>27</v>
      </c>
      <c r="O538" s="11" t="s">
        <v>56</v>
      </c>
    </row>
    <row r="539" spans="2:15" ht="21" customHeight="1" x14ac:dyDescent="0.3">
      <c r="B539" s="4" t="s">
        <v>14</v>
      </c>
      <c r="C539" s="5">
        <v>21</v>
      </c>
      <c r="D539" s="6" t="s">
        <v>41</v>
      </c>
      <c r="E539" s="4" t="s">
        <v>42</v>
      </c>
      <c r="F539" s="4" t="s">
        <v>17</v>
      </c>
      <c r="G539" s="7">
        <v>2</v>
      </c>
      <c r="H539" s="1">
        <v>38000000</v>
      </c>
      <c r="I539" s="4">
        <v>3</v>
      </c>
      <c r="J539" s="8">
        <v>1.736111111111111E-3</v>
      </c>
      <c r="K539" s="4" t="s">
        <v>50</v>
      </c>
      <c r="L539" s="4" t="s">
        <v>38</v>
      </c>
      <c r="M539" s="4" t="s">
        <v>32</v>
      </c>
      <c r="N539" s="4" t="s">
        <v>36</v>
      </c>
      <c r="O539" s="4" t="s">
        <v>58</v>
      </c>
    </row>
    <row r="540" spans="2:15" ht="21" customHeight="1" x14ac:dyDescent="0.3">
      <c r="B540" s="11" t="s">
        <v>14</v>
      </c>
      <c r="C540" s="12">
        <v>24</v>
      </c>
      <c r="D540" s="13" t="s">
        <v>41</v>
      </c>
      <c r="E540" s="11" t="s">
        <v>16</v>
      </c>
      <c r="F540" s="11" t="s">
        <v>24</v>
      </c>
      <c r="G540" s="14">
        <v>4</v>
      </c>
      <c r="H540" s="15">
        <v>20000000</v>
      </c>
      <c r="I540" s="11">
        <v>2</v>
      </c>
      <c r="J540" s="16">
        <v>1.736111111111111E-3</v>
      </c>
      <c r="K540" s="11" t="s">
        <v>65</v>
      </c>
      <c r="L540" s="11" t="s">
        <v>51</v>
      </c>
      <c r="M540" s="11" t="s">
        <v>32</v>
      </c>
      <c r="N540" s="11" t="s">
        <v>36</v>
      </c>
      <c r="O540" s="11" t="s">
        <v>58</v>
      </c>
    </row>
    <row r="541" spans="2:15" ht="21" customHeight="1" x14ac:dyDescent="0.3">
      <c r="B541" s="4" t="s">
        <v>14</v>
      </c>
      <c r="C541" s="5">
        <v>5</v>
      </c>
      <c r="D541" s="6" t="s">
        <v>41</v>
      </c>
      <c r="E541" s="4" t="s">
        <v>16</v>
      </c>
      <c r="F541" s="4" t="s">
        <v>17</v>
      </c>
      <c r="G541" s="7">
        <v>4</v>
      </c>
      <c r="H541" s="1">
        <v>11000000</v>
      </c>
      <c r="I541" s="4">
        <v>4</v>
      </c>
      <c r="J541" s="8">
        <v>1.736111111111111E-3</v>
      </c>
      <c r="K541" s="4" t="s">
        <v>65</v>
      </c>
      <c r="L541" s="4" t="s">
        <v>19</v>
      </c>
      <c r="M541" s="4" t="s">
        <v>44</v>
      </c>
      <c r="N541" s="4" t="s">
        <v>27</v>
      </c>
      <c r="O541" s="4" t="s">
        <v>28</v>
      </c>
    </row>
    <row r="542" spans="2:15" ht="21" customHeight="1" x14ac:dyDescent="0.3">
      <c r="B542" s="11" t="s">
        <v>14</v>
      </c>
      <c r="C542" s="12">
        <v>1</v>
      </c>
      <c r="D542" s="13" t="s">
        <v>41</v>
      </c>
      <c r="E542" s="11" t="s">
        <v>34</v>
      </c>
      <c r="F542" s="11" t="s">
        <v>24</v>
      </c>
      <c r="G542" s="14">
        <v>2</v>
      </c>
      <c r="H542" s="15">
        <v>12000000</v>
      </c>
      <c r="I542" s="11">
        <v>1</v>
      </c>
      <c r="J542" s="16">
        <v>1.736111111111111E-3</v>
      </c>
      <c r="K542" s="11" t="s">
        <v>18</v>
      </c>
      <c r="L542" s="11" t="s">
        <v>31</v>
      </c>
      <c r="M542" s="11" t="s">
        <v>32</v>
      </c>
      <c r="N542" s="11" t="s">
        <v>27</v>
      </c>
      <c r="O542" s="11" t="s">
        <v>33</v>
      </c>
    </row>
    <row r="543" spans="2:15" ht="21" customHeight="1" x14ac:dyDescent="0.3">
      <c r="B543" s="4" t="s">
        <v>14</v>
      </c>
      <c r="C543" s="5">
        <v>8</v>
      </c>
      <c r="D543" s="6" t="s">
        <v>41</v>
      </c>
      <c r="E543" s="4" t="s">
        <v>42</v>
      </c>
      <c r="F543" s="4" t="s">
        <v>46</v>
      </c>
      <c r="G543" s="7">
        <v>3</v>
      </c>
      <c r="H543" s="1">
        <v>15000000</v>
      </c>
      <c r="I543" s="4">
        <v>1</v>
      </c>
      <c r="J543" s="8">
        <v>1.736111111111111E-3</v>
      </c>
      <c r="K543" s="4" t="s">
        <v>18</v>
      </c>
      <c r="L543" s="4" t="s">
        <v>43</v>
      </c>
      <c r="M543" s="4" t="s">
        <v>35</v>
      </c>
      <c r="N543" s="4" t="s">
        <v>27</v>
      </c>
      <c r="O543" s="4" t="s">
        <v>28</v>
      </c>
    </row>
    <row r="544" spans="2:15" ht="21" customHeight="1" x14ac:dyDescent="0.3">
      <c r="B544" s="11" t="s">
        <v>14</v>
      </c>
      <c r="C544" s="12">
        <v>28</v>
      </c>
      <c r="D544" s="13" t="s">
        <v>41</v>
      </c>
      <c r="E544" s="11" t="s">
        <v>34</v>
      </c>
      <c r="F544" s="11" t="s">
        <v>46</v>
      </c>
      <c r="G544" s="14">
        <v>3</v>
      </c>
      <c r="H544" s="15">
        <v>15000000</v>
      </c>
      <c r="I544" s="11">
        <v>2</v>
      </c>
      <c r="J544" s="16">
        <v>1.736111111111111E-3</v>
      </c>
      <c r="K544" s="11" t="s">
        <v>18</v>
      </c>
      <c r="L544" s="11" t="s">
        <v>54</v>
      </c>
      <c r="M544" s="11" t="s">
        <v>35</v>
      </c>
      <c r="N544" s="11" t="s">
        <v>21</v>
      </c>
      <c r="O544" s="11" t="s">
        <v>57</v>
      </c>
    </row>
    <row r="545" spans="2:15" ht="21" customHeight="1" x14ac:dyDescent="0.3">
      <c r="B545" s="4" t="s">
        <v>14</v>
      </c>
      <c r="C545" s="5">
        <v>7</v>
      </c>
      <c r="D545" s="6" t="s">
        <v>41</v>
      </c>
      <c r="E545" s="4" t="s">
        <v>42</v>
      </c>
      <c r="F545" s="4" t="s">
        <v>72</v>
      </c>
      <c r="G545" s="7">
        <v>2</v>
      </c>
      <c r="H545" s="1">
        <v>12000000</v>
      </c>
      <c r="I545" s="4">
        <v>1</v>
      </c>
      <c r="J545" s="8">
        <v>1.736111111111111E-3</v>
      </c>
      <c r="K545" s="4" t="s">
        <v>18</v>
      </c>
      <c r="L545" s="4" t="s">
        <v>38</v>
      </c>
      <c r="M545" s="4" t="s">
        <v>52</v>
      </c>
      <c r="N545" s="4" t="s">
        <v>27</v>
      </c>
      <c r="O545" s="4" t="s">
        <v>33</v>
      </c>
    </row>
    <row r="546" spans="2:15" ht="21" customHeight="1" x14ac:dyDescent="0.3">
      <c r="B546" s="11" t="s">
        <v>14</v>
      </c>
      <c r="C546" s="12">
        <v>30</v>
      </c>
      <c r="D546" s="13" t="s">
        <v>48</v>
      </c>
      <c r="E546" s="11" t="s">
        <v>34</v>
      </c>
      <c r="F546" s="11" t="s">
        <v>17</v>
      </c>
      <c r="G546" s="14">
        <v>3</v>
      </c>
      <c r="H546" s="15">
        <v>15000000</v>
      </c>
      <c r="I546" s="11">
        <v>1</v>
      </c>
      <c r="J546" s="16">
        <v>1.736111111111111E-3</v>
      </c>
      <c r="K546" s="11" t="s">
        <v>18</v>
      </c>
      <c r="L546" s="11" t="s">
        <v>31</v>
      </c>
      <c r="M546" s="11" t="s">
        <v>47</v>
      </c>
      <c r="N546" s="11" t="s">
        <v>36</v>
      </c>
      <c r="O546" s="11" t="s">
        <v>58</v>
      </c>
    </row>
    <row r="547" spans="2:15" ht="21" customHeight="1" x14ac:dyDescent="0.3">
      <c r="B547" s="4" t="s">
        <v>14</v>
      </c>
      <c r="C547" s="5">
        <v>1</v>
      </c>
      <c r="D547" s="6" t="s">
        <v>48</v>
      </c>
      <c r="E547" s="4" t="s">
        <v>30</v>
      </c>
      <c r="F547" s="4" t="s">
        <v>46</v>
      </c>
      <c r="G547" s="7">
        <v>4</v>
      </c>
      <c r="H547" s="1">
        <v>20000000</v>
      </c>
      <c r="I547" s="4">
        <v>3</v>
      </c>
      <c r="J547" s="8">
        <v>1.736111111111111E-3</v>
      </c>
      <c r="K547" s="4" t="s">
        <v>18</v>
      </c>
      <c r="L547" s="4" t="s">
        <v>60</v>
      </c>
      <c r="M547" s="4" t="s">
        <v>26</v>
      </c>
      <c r="N547" s="4" t="s">
        <v>39</v>
      </c>
      <c r="O547" s="4" t="s">
        <v>40</v>
      </c>
    </row>
    <row r="548" spans="2:15" ht="21" customHeight="1" x14ac:dyDescent="0.3">
      <c r="B548" s="11" t="s">
        <v>14</v>
      </c>
      <c r="C548" s="12">
        <v>5</v>
      </c>
      <c r="D548" s="13" t="s">
        <v>48</v>
      </c>
      <c r="E548" s="11" t="s">
        <v>42</v>
      </c>
      <c r="F548" s="11" t="s">
        <v>17</v>
      </c>
      <c r="G548" s="14">
        <v>2</v>
      </c>
      <c r="H548" s="15">
        <v>12000000</v>
      </c>
      <c r="I548" s="11">
        <v>3</v>
      </c>
      <c r="J548" s="16">
        <v>1.736111111111111E-3</v>
      </c>
      <c r="K548" s="11" t="s">
        <v>18</v>
      </c>
      <c r="L548" s="11" t="s">
        <v>19</v>
      </c>
      <c r="M548" s="11" t="s">
        <v>55</v>
      </c>
      <c r="N548" s="11" t="s">
        <v>21</v>
      </c>
      <c r="O548" s="11" t="s">
        <v>57</v>
      </c>
    </row>
    <row r="549" spans="2:15" ht="21" customHeight="1" x14ac:dyDescent="0.3">
      <c r="B549" s="4" t="s">
        <v>14</v>
      </c>
      <c r="C549" s="5">
        <v>1</v>
      </c>
      <c r="D549" s="6" t="s">
        <v>73</v>
      </c>
      <c r="E549" s="4" t="s">
        <v>34</v>
      </c>
      <c r="F549" s="4" t="s">
        <v>24</v>
      </c>
      <c r="G549" s="7">
        <v>2</v>
      </c>
      <c r="H549" s="1">
        <v>12000000</v>
      </c>
      <c r="I549" s="4">
        <v>4</v>
      </c>
      <c r="J549" s="8">
        <v>1.736111111111111E-3</v>
      </c>
      <c r="K549" s="4" t="s">
        <v>18</v>
      </c>
      <c r="L549" s="4" t="s">
        <v>19</v>
      </c>
      <c r="M549" s="4" t="s">
        <v>20</v>
      </c>
      <c r="N549" s="4" t="s">
        <v>39</v>
      </c>
      <c r="O549" s="4" t="s">
        <v>71</v>
      </c>
    </row>
    <row r="550" spans="2:15" ht="21" customHeight="1" x14ac:dyDescent="0.3">
      <c r="B550" s="11" t="s">
        <v>14</v>
      </c>
      <c r="C550" s="12">
        <v>2</v>
      </c>
      <c r="D550" s="13" t="s">
        <v>73</v>
      </c>
      <c r="E550" s="11" t="s">
        <v>16</v>
      </c>
      <c r="F550" s="11" t="s">
        <v>46</v>
      </c>
      <c r="G550" s="14">
        <v>2</v>
      </c>
      <c r="H550" s="15">
        <v>12000000</v>
      </c>
      <c r="I550" s="11">
        <v>1</v>
      </c>
      <c r="J550" s="16">
        <v>1.736111111111111E-3</v>
      </c>
      <c r="K550" s="11" t="s">
        <v>18</v>
      </c>
      <c r="L550" s="11" t="s">
        <v>68</v>
      </c>
      <c r="M550" s="11" t="s">
        <v>55</v>
      </c>
      <c r="N550" s="11" t="s">
        <v>39</v>
      </c>
      <c r="O550" s="11" t="s">
        <v>71</v>
      </c>
    </row>
    <row r="551" spans="2:15" ht="21" customHeight="1" x14ac:dyDescent="0.3">
      <c r="B551" s="4" t="s">
        <v>14</v>
      </c>
      <c r="C551" s="5">
        <v>11</v>
      </c>
      <c r="D551" s="6" t="s">
        <v>59</v>
      </c>
      <c r="E551" s="4" t="s">
        <v>42</v>
      </c>
      <c r="F551" s="4" t="s">
        <v>46</v>
      </c>
      <c r="G551" s="7">
        <v>5</v>
      </c>
      <c r="H551" s="1">
        <v>20000000</v>
      </c>
      <c r="I551" s="4">
        <v>1</v>
      </c>
      <c r="J551" s="8">
        <v>1.736111111111111E-3</v>
      </c>
      <c r="K551" s="4" t="s">
        <v>18</v>
      </c>
      <c r="L551" s="4" t="s">
        <v>31</v>
      </c>
      <c r="M551" s="4" t="s">
        <v>52</v>
      </c>
      <c r="N551" s="4" t="s">
        <v>36</v>
      </c>
      <c r="O551" s="4" t="s">
        <v>58</v>
      </c>
    </row>
    <row r="552" spans="2:15" ht="21" customHeight="1" x14ac:dyDescent="0.3">
      <c r="B552" s="11" t="s">
        <v>14</v>
      </c>
      <c r="C552" s="12">
        <v>14</v>
      </c>
      <c r="D552" s="13" t="s">
        <v>61</v>
      </c>
      <c r="E552" s="11" t="s">
        <v>53</v>
      </c>
      <c r="F552" s="11" t="s">
        <v>46</v>
      </c>
      <c r="G552" s="14">
        <v>2</v>
      </c>
      <c r="H552" s="15">
        <v>10000000</v>
      </c>
      <c r="I552" s="11">
        <v>7</v>
      </c>
      <c r="J552" s="16">
        <v>1.736111111111111E-3</v>
      </c>
      <c r="K552" s="11" t="s">
        <v>18</v>
      </c>
      <c r="L552" s="11" t="s">
        <v>31</v>
      </c>
      <c r="M552" s="11" t="s">
        <v>47</v>
      </c>
      <c r="N552" s="11" t="s">
        <v>21</v>
      </c>
      <c r="O552" s="11" t="s">
        <v>57</v>
      </c>
    </row>
    <row r="553" spans="2:15" ht="21" customHeight="1" x14ac:dyDescent="0.3">
      <c r="B553" s="4" t="s">
        <v>14</v>
      </c>
      <c r="C553" s="5">
        <v>10</v>
      </c>
      <c r="D553" s="6" t="s">
        <v>76</v>
      </c>
      <c r="E553" s="4" t="s">
        <v>34</v>
      </c>
      <c r="F553" s="4" t="s">
        <v>24</v>
      </c>
      <c r="G553" s="7">
        <v>1</v>
      </c>
      <c r="H553" s="1">
        <v>7000000</v>
      </c>
      <c r="I553" s="4">
        <v>1</v>
      </c>
      <c r="J553" s="8">
        <v>1.736111111111111E-3</v>
      </c>
      <c r="K553" s="4" t="s">
        <v>18</v>
      </c>
      <c r="L553" s="4" t="s">
        <v>51</v>
      </c>
      <c r="M553" s="4" t="s">
        <v>32</v>
      </c>
      <c r="N553" s="4" t="s">
        <v>21</v>
      </c>
      <c r="O553" s="4" t="s">
        <v>57</v>
      </c>
    </row>
    <row r="554" spans="2:15" ht="21" customHeight="1" x14ac:dyDescent="0.3">
      <c r="B554" s="11" t="s">
        <v>14</v>
      </c>
      <c r="C554" s="12">
        <v>12</v>
      </c>
      <c r="D554" s="13" t="s">
        <v>76</v>
      </c>
      <c r="E554" s="11" t="s">
        <v>30</v>
      </c>
      <c r="F554" s="11" t="s">
        <v>24</v>
      </c>
      <c r="G554" s="14">
        <v>5</v>
      </c>
      <c r="H554" s="15">
        <v>25000000</v>
      </c>
      <c r="I554" s="11">
        <v>2</v>
      </c>
      <c r="J554" s="16">
        <v>1.736111111111111E-3</v>
      </c>
      <c r="K554" s="11" t="s">
        <v>18</v>
      </c>
      <c r="L554" s="11" t="s">
        <v>19</v>
      </c>
      <c r="M554" s="11" t="s">
        <v>20</v>
      </c>
      <c r="N554" s="11" t="s">
        <v>36</v>
      </c>
      <c r="O554" s="11" t="s">
        <v>69</v>
      </c>
    </row>
    <row r="555" spans="2:15" ht="21" customHeight="1" x14ac:dyDescent="0.3">
      <c r="B555" s="4" t="s">
        <v>74</v>
      </c>
      <c r="C555" s="5">
        <v>11</v>
      </c>
      <c r="D555" s="6" t="s">
        <v>63</v>
      </c>
      <c r="E555" s="4" t="s">
        <v>16</v>
      </c>
      <c r="F555" s="4" t="s">
        <v>24</v>
      </c>
      <c r="G555" s="7">
        <v>0</v>
      </c>
      <c r="H555" s="1">
        <v>0</v>
      </c>
      <c r="I555" s="4">
        <v>2</v>
      </c>
      <c r="J555" s="8">
        <v>1.736111111111111E-3</v>
      </c>
      <c r="K555" s="4"/>
      <c r="L555" s="4"/>
      <c r="M555" s="4" t="s">
        <v>52</v>
      </c>
      <c r="N555" s="4" t="s">
        <v>39</v>
      </c>
      <c r="O555" s="4" t="s">
        <v>71</v>
      </c>
    </row>
    <row r="556" spans="2:15" ht="21" customHeight="1" x14ac:dyDescent="0.3">
      <c r="B556" s="11" t="s">
        <v>74</v>
      </c>
      <c r="C556" s="12">
        <v>27</v>
      </c>
      <c r="D556" s="13" t="s">
        <v>63</v>
      </c>
      <c r="E556" s="11" t="s">
        <v>42</v>
      </c>
      <c r="F556" s="11" t="s">
        <v>46</v>
      </c>
      <c r="G556" s="14">
        <v>0</v>
      </c>
      <c r="H556" s="15">
        <v>0</v>
      </c>
      <c r="I556" s="11">
        <v>3</v>
      </c>
      <c r="J556" s="16">
        <v>1.736111111111111E-3</v>
      </c>
      <c r="K556" s="11"/>
      <c r="L556" s="11"/>
      <c r="M556" s="11" t="s">
        <v>32</v>
      </c>
      <c r="N556" s="11" t="s">
        <v>21</v>
      </c>
      <c r="O556" s="11" t="s">
        <v>45</v>
      </c>
    </row>
    <row r="557" spans="2:15" ht="21" customHeight="1" x14ac:dyDescent="0.3">
      <c r="B557" s="4" t="s">
        <v>74</v>
      </c>
      <c r="C557" s="5">
        <v>20</v>
      </c>
      <c r="D557" s="6" t="s">
        <v>29</v>
      </c>
      <c r="E557" s="4" t="s">
        <v>16</v>
      </c>
      <c r="F557" s="4" t="s">
        <v>24</v>
      </c>
      <c r="G557" s="7">
        <v>0</v>
      </c>
      <c r="H557" s="1">
        <v>0</v>
      </c>
      <c r="I557" s="4">
        <v>2</v>
      </c>
      <c r="J557" s="8">
        <v>1.736111111111111E-3</v>
      </c>
      <c r="K557" s="4"/>
      <c r="L557" s="4"/>
      <c r="M557" s="4" t="s">
        <v>47</v>
      </c>
      <c r="N557" s="4" t="s">
        <v>27</v>
      </c>
      <c r="O557" s="4" t="s">
        <v>28</v>
      </c>
    </row>
    <row r="558" spans="2:15" ht="21" customHeight="1" x14ac:dyDescent="0.3">
      <c r="B558" s="11" t="s">
        <v>74</v>
      </c>
      <c r="C558" s="12">
        <v>1</v>
      </c>
      <c r="D558" s="13" t="s">
        <v>41</v>
      </c>
      <c r="E558" s="11" t="s">
        <v>34</v>
      </c>
      <c r="F558" s="11" t="s">
        <v>24</v>
      </c>
      <c r="G558" s="14">
        <v>0</v>
      </c>
      <c r="H558" s="15">
        <v>0</v>
      </c>
      <c r="I558" s="11">
        <v>4</v>
      </c>
      <c r="J558" s="16">
        <v>1.736111111111111E-3</v>
      </c>
      <c r="K558" s="11"/>
      <c r="L558" s="11"/>
      <c r="M558" s="11" t="s">
        <v>52</v>
      </c>
      <c r="N558" s="11" t="s">
        <v>21</v>
      </c>
      <c r="O558" s="11" t="s">
        <v>57</v>
      </c>
    </row>
    <row r="559" spans="2:15" ht="21" customHeight="1" x14ac:dyDescent="0.3">
      <c r="B559" s="4" t="s">
        <v>74</v>
      </c>
      <c r="C559" s="5">
        <v>1</v>
      </c>
      <c r="D559" s="6" t="s">
        <v>48</v>
      </c>
      <c r="E559" s="4" t="s">
        <v>16</v>
      </c>
      <c r="F559" s="4" t="s">
        <v>46</v>
      </c>
      <c r="G559" s="7">
        <v>0</v>
      </c>
      <c r="H559" s="1">
        <v>0</v>
      </c>
      <c r="I559" s="4">
        <v>4</v>
      </c>
      <c r="J559" s="8">
        <v>1.736111111111111E-3</v>
      </c>
      <c r="K559" s="4"/>
      <c r="L559" s="4"/>
      <c r="M559" s="4" t="s">
        <v>35</v>
      </c>
      <c r="N559" s="4" t="s">
        <v>27</v>
      </c>
      <c r="O559" s="4" t="s">
        <v>33</v>
      </c>
    </row>
    <row r="560" spans="2:15" ht="21" customHeight="1" x14ac:dyDescent="0.3">
      <c r="B560" s="11" t="s">
        <v>74</v>
      </c>
      <c r="C560" s="12">
        <v>25</v>
      </c>
      <c r="D560" s="13" t="s">
        <v>48</v>
      </c>
      <c r="E560" s="11" t="s">
        <v>30</v>
      </c>
      <c r="F560" s="11" t="s">
        <v>17</v>
      </c>
      <c r="G560" s="14">
        <v>0</v>
      </c>
      <c r="H560" s="15">
        <v>0</v>
      </c>
      <c r="I560" s="11">
        <v>3</v>
      </c>
      <c r="J560" s="16">
        <v>1.736111111111111E-3</v>
      </c>
      <c r="K560" s="11"/>
      <c r="L560" s="11"/>
      <c r="M560" s="11" t="s">
        <v>26</v>
      </c>
      <c r="N560" s="11" t="s">
        <v>21</v>
      </c>
      <c r="O560" s="11" t="s">
        <v>57</v>
      </c>
    </row>
    <row r="561" spans="2:15" ht="21" customHeight="1" x14ac:dyDescent="0.3">
      <c r="B561" s="4" t="s">
        <v>74</v>
      </c>
      <c r="C561" s="5">
        <v>3</v>
      </c>
      <c r="D561" s="6" t="s">
        <v>73</v>
      </c>
      <c r="E561" s="4" t="s">
        <v>42</v>
      </c>
      <c r="F561" s="4" t="s">
        <v>24</v>
      </c>
      <c r="G561" s="7">
        <v>0</v>
      </c>
      <c r="H561" s="1">
        <v>0</v>
      </c>
      <c r="I561" s="4">
        <v>1</v>
      </c>
      <c r="J561" s="8">
        <v>1.736111111111111E-3</v>
      </c>
      <c r="K561" s="4"/>
      <c r="L561" s="4"/>
      <c r="M561" s="4" t="s">
        <v>32</v>
      </c>
      <c r="N561" s="4" t="s">
        <v>36</v>
      </c>
      <c r="O561" s="4" t="s">
        <v>69</v>
      </c>
    </row>
    <row r="562" spans="2:15" ht="21" customHeight="1" x14ac:dyDescent="0.3">
      <c r="B562" s="11" t="s">
        <v>74</v>
      </c>
      <c r="C562" s="12">
        <v>10</v>
      </c>
      <c r="D562" s="13" t="s">
        <v>73</v>
      </c>
      <c r="E562" s="11" t="s">
        <v>34</v>
      </c>
      <c r="F562" s="11" t="s">
        <v>24</v>
      </c>
      <c r="G562" s="14">
        <v>0</v>
      </c>
      <c r="H562" s="15">
        <v>0</v>
      </c>
      <c r="I562" s="11">
        <v>1</v>
      </c>
      <c r="J562" s="16">
        <v>1.736111111111111E-3</v>
      </c>
      <c r="K562" s="11"/>
      <c r="L562" s="11"/>
      <c r="M562" s="11" t="s">
        <v>35</v>
      </c>
      <c r="N562" s="11" t="s">
        <v>27</v>
      </c>
      <c r="O562" s="11" t="s">
        <v>33</v>
      </c>
    </row>
    <row r="563" spans="2:15" ht="21" customHeight="1" x14ac:dyDescent="0.3">
      <c r="B563" s="4" t="s">
        <v>74</v>
      </c>
      <c r="C563" s="5">
        <v>11</v>
      </c>
      <c r="D563" s="6" t="s">
        <v>63</v>
      </c>
      <c r="E563" s="4" t="s">
        <v>16</v>
      </c>
      <c r="F563" s="4" t="s">
        <v>24</v>
      </c>
      <c r="G563" s="7">
        <v>0</v>
      </c>
      <c r="H563" s="1">
        <v>0</v>
      </c>
      <c r="I563" s="4">
        <v>2</v>
      </c>
      <c r="J563" s="8">
        <v>1.736111111111111E-3</v>
      </c>
      <c r="K563" s="4"/>
      <c r="L563" s="4"/>
      <c r="M563" s="4" t="s">
        <v>52</v>
      </c>
      <c r="N563" s="4" t="s">
        <v>39</v>
      </c>
      <c r="O563" s="4" t="s">
        <v>71</v>
      </c>
    </row>
    <row r="564" spans="2:15" ht="21" customHeight="1" x14ac:dyDescent="0.3">
      <c r="B564" s="11" t="s">
        <v>74</v>
      </c>
      <c r="C564" s="12">
        <v>27</v>
      </c>
      <c r="D564" s="13" t="s">
        <v>63</v>
      </c>
      <c r="E564" s="11" t="s">
        <v>42</v>
      </c>
      <c r="F564" s="11" t="s">
        <v>46</v>
      </c>
      <c r="G564" s="14">
        <v>0</v>
      </c>
      <c r="H564" s="15">
        <v>0</v>
      </c>
      <c r="I564" s="11">
        <v>3</v>
      </c>
      <c r="J564" s="16">
        <v>1.736111111111111E-3</v>
      </c>
      <c r="K564" s="11"/>
      <c r="L564" s="11"/>
      <c r="M564" s="11" t="s">
        <v>32</v>
      </c>
      <c r="N564" s="11" t="s">
        <v>21</v>
      </c>
      <c r="O564" s="11" t="s">
        <v>45</v>
      </c>
    </row>
    <row r="565" spans="2:15" ht="21" customHeight="1" x14ac:dyDescent="0.3">
      <c r="B565" s="4" t="s">
        <v>14</v>
      </c>
      <c r="C565" s="5">
        <v>11</v>
      </c>
      <c r="D565" s="6" t="s">
        <v>61</v>
      </c>
      <c r="E565" s="4" t="s">
        <v>16</v>
      </c>
      <c r="F565" s="4" t="s">
        <v>46</v>
      </c>
      <c r="G565" s="7">
        <v>4</v>
      </c>
      <c r="H565" s="1">
        <v>20000000</v>
      </c>
      <c r="I565" s="4">
        <v>2</v>
      </c>
      <c r="J565" s="8">
        <v>1.9675925925925928E-3</v>
      </c>
      <c r="K565" s="4" t="s">
        <v>18</v>
      </c>
      <c r="L565" s="4" t="s">
        <v>19</v>
      </c>
      <c r="M565" s="4" t="s">
        <v>47</v>
      </c>
      <c r="N565" s="4" t="s">
        <v>21</v>
      </c>
      <c r="O565" s="4" t="s">
        <v>67</v>
      </c>
    </row>
    <row r="566" spans="2:15" ht="21" customHeight="1" x14ac:dyDescent="0.3">
      <c r="B566" s="11" t="s">
        <v>14</v>
      </c>
      <c r="C566" s="12">
        <v>12</v>
      </c>
      <c r="D566" s="13" t="s">
        <v>29</v>
      </c>
      <c r="E566" s="11" t="s">
        <v>34</v>
      </c>
      <c r="F566" s="11" t="s">
        <v>49</v>
      </c>
      <c r="G566" s="14">
        <v>2</v>
      </c>
      <c r="H566" s="15">
        <v>38000000</v>
      </c>
      <c r="I566" s="11">
        <v>1</v>
      </c>
      <c r="J566" s="16">
        <v>1.9675925925925928E-3</v>
      </c>
      <c r="K566" s="11" t="s">
        <v>50</v>
      </c>
      <c r="L566" s="11" t="s">
        <v>60</v>
      </c>
      <c r="M566" s="11" t="s">
        <v>32</v>
      </c>
      <c r="N566" s="11" t="s">
        <v>27</v>
      </c>
      <c r="O566" s="11" t="s">
        <v>75</v>
      </c>
    </row>
    <row r="567" spans="2:15" ht="21" customHeight="1" x14ac:dyDescent="0.3">
      <c r="B567" s="4" t="s">
        <v>14</v>
      </c>
      <c r="C567" s="5">
        <v>30</v>
      </c>
      <c r="D567" s="6" t="s">
        <v>29</v>
      </c>
      <c r="E567" s="4" t="s">
        <v>34</v>
      </c>
      <c r="F567" s="4" t="s">
        <v>24</v>
      </c>
      <c r="G567" s="7">
        <v>5</v>
      </c>
      <c r="H567" s="1">
        <v>25000000</v>
      </c>
      <c r="I567" s="4">
        <v>2</v>
      </c>
      <c r="J567" s="8">
        <v>1.9675925925925928E-3</v>
      </c>
      <c r="K567" s="4" t="s">
        <v>18</v>
      </c>
      <c r="L567" s="4" t="s">
        <v>31</v>
      </c>
      <c r="M567" s="4" t="s">
        <v>32</v>
      </c>
      <c r="N567" s="4" t="s">
        <v>21</v>
      </c>
      <c r="O567" s="4" t="s">
        <v>70</v>
      </c>
    </row>
    <row r="568" spans="2:15" ht="21" customHeight="1" x14ac:dyDescent="0.3">
      <c r="B568" s="11" t="s">
        <v>14</v>
      </c>
      <c r="C568" s="12">
        <v>27</v>
      </c>
      <c r="D568" s="13" t="s">
        <v>41</v>
      </c>
      <c r="E568" s="11" t="s">
        <v>34</v>
      </c>
      <c r="F568" s="11" t="s">
        <v>46</v>
      </c>
      <c r="G568" s="14">
        <v>1</v>
      </c>
      <c r="H568" s="15">
        <v>19000000</v>
      </c>
      <c r="I568" s="11">
        <v>1</v>
      </c>
      <c r="J568" s="16">
        <v>1.9675925925925928E-3</v>
      </c>
      <c r="K568" s="11" t="s">
        <v>50</v>
      </c>
      <c r="L568" s="11" t="s">
        <v>43</v>
      </c>
      <c r="M568" s="11" t="s">
        <v>35</v>
      </c>
      <c r="N568" s="11" t="s">
        <v>21</v>
      </c>
      <c r="O568" s="11" t="s">
        <v>45</v>
      </c>
    </row>
    <row r="569" spans="2:15" ht="21" customHeight="1" x14ac:dyDescent="0.3">
      <c r="B569" s="4" t="s">
        <v>14</v>
      </c>
      <c r="C569" s="5">
        <v>31</v>
      </c>
      <c r="D569" s="6" t="s">
        <v>41</v>
      </c>
      <c r="E569" s="4" t="s">
        <v>30</v>
      </c>
      <c r="F569" s="4" t="s">
        <v>24</v>
      </c>
      <c r="G569" s="7">
        <v>2</v>
      </c>
      <c r="H569" s="1">
        <v>12000000</v>
      </c>
      <c r="I569" s="4">
        <v>2</v>
      </c>
      <c r="J569" s="8">
        <v>1.9675925925925928E-3</v>
      </c>
      <c r="K569" s="4" t="s">
        <v>18</v>
      </c>
      <c r="L569" s="4" t="s">
        <v>60</v>
      </c>
      <c r="M569" s="4" t="s">
        <v>35</v>
      </c>
      <c r="N569" s="4" t="s">
        <v>36</v>
      </c>
      <c r="O569" s="4" t="s">
        <v>37</v>
      </c>
    </row>
    <row r="570" spans="2:15" ht="21" customHeight="1" x14ac:dyDescent="0.3">
      <c r="B570" s="11" t="s">
        <v>14</v>
      </c>
      <c r="C570" s="12">
        <v>25</v>
      </c>
      <c r="D570" s="13" t="s">
        <v>41</v>
      </c>
      <c r="E570" s="11" t="s">
        <v>16</v>
      </c>
      <c r="F570" s="11" t="s">
        <v>46</v>
      </c>
      <c r="G570" s="14">
        <v>3</v>
      </c>
      <c r="H570" s="15">
        <v>15000000</v>
      </c>
      <c r="I570" s="11">
        <v>2</v>
      </c>
      <c r="J570" s="16">
        <v>1.9675925925925928E-3</v>
      </c>
      <c r="K570" s="11" t="s">
        <v>18</v>
      </c>
      <c r="L570" s="11" t="s">
        <v>31</v>
      </c>
      <c r="M570" s="11" t="s">
        <v>20</v>
      </c>
      <c r="N570" s="11" t="s">
        <v>27</v>
      </c>
      <c r="O570" s="11" t="s">
        <v>56</v>
      </c>
    </row>
    <row r="571" spans="2:15" ht="21" customHeight="1" x14ac:dyDescent="0.3">
      <c r="B571" s="4" t="s">
        <v>14</v>
      </c>
      <c r="C571" s="5">
        <v>27</v>
      </c>
      <c r="D571" s="6" t="s">
        <v>41</v>
      </c>
      <c r="E571" s="4" t="s">
        <v>42</v>
      </c>
      <c r="F571" s="4" t="s">
        <v>17</v>
      </c>
      <c r="G571" s="7">
        <v>2</v>
      </c>
      <c r="H571" s="1">
        <v>12000000</v>
      </c>
      <c r="I571" s="4">
        <v>2</v>
      </c>
      <c r="J571" s="8">
        <v>1.9675925925925928E-3</v>
      </c>
      <c r="K571" s="4" t="s">
        <v>18</v>
      </c>
      <c r="L571" s="4" t="s">
        <v>25</v>
      </c>
      <c r="M571" s="4" t="s">
        <v>55</v>
      </c>
      <c r="N571" s="4" t="s">
        <v>27</v>
      </c>
      <c r="O571" s="4" t="s">
        <v>33</v>
      </c>
    </row>
    <row r="572" spans="2:15" ht="21" customHeight="1" x14ac:dyDescent="0.3">
      <c r="B572" s="11" t="s">
        <v>14</v>
      </c>
      <c r="C572" s="12">
        <v>29</v>
      </c>
      <c r="D572" s="13" t="s">
        <v>48</v>
      </c>
      <c r="E572" s="11" t="s">
        <v>42</v>
      </c>
      <c r="F572" s="11" t="s">
        <v>72</v>
      </c>
      <c r="G572" s="14">
        <v>4</v>
      </c>
      <c r="H572" s="15">
        <v>11000000</v>
      </c>
      <c r="I572" s="11">
        <v>3</v>
      </c>
      <c r="J572" s="16">
        <v>1.9675925925925928E-3</v>
      </c>
      <c r="K572" s="11" t="s">
        <v>65</v>
      </c>
      <c r="L572" s="11" t="s">
        <v>60</v>
      </c>
      <c r="M572" s="11" t="s">
        <v>55</v>
      </c>
      <c r="N572" s="11" t="s">
        <v>36</v>
      </c>
      <c r="O572" s="11" t="s">
        <v>58</v>
      </c>
    </row>
    <row r="573" spans="2:15" ht="21" customHeight="1" x14ac:dyDescent="0.3">
      <c r="B573" s="4" t="s">
        <v>14</v>
      </c>
      <c r="C573" s="5">
        <v>18</v>
      </c>
      <c r="D573" s="6" t="s">
        <v>48</v>
      </c>
      <c r="E573" s="4" t="s">
        <v>34</v>
      </c>
      <c r="F573" s="4" t="s">
        <v>17</v>
      </c>
      <c r="G573" s="7">
        <v>5</v>
      </c>
      <c r="H573" s="1">
        <v>21000000</v>
      </c>
      <c r="I573" s="4">
        <v>1</v>
      </c>
      <c r="J573" s="8">
        <v>1.9675925925925928E-3</v>
      </c>
      <c r="K573" s="4" t="s">
        <v>18</v>
      </c>
      <c r="L573" s="4" t="s">
        <v>19</v>
      </c>
      <c r="M573" s="4" t="s">
        <v>52</v>
      </c>
      <c r="N573" s="4" t="s">
        <v>39</v>
      </c>
      <c r="O573" s="4" t="s">
        <v>40</v>
      </c>
    </row>
    <row r="574" spans="2:15" ht="21" customHeight="1" x14ac:dyDescent="0.3">
      <c r="B574" s="11" t="s">
        <v>14</v>
      </c>
      <c r="C574" s="12">
        <v>16</v>
      </c>
      <c r="D574" s="13" t="s">
        <v>73</v>
      </c>
      <c r="E574" s="11" t="s">
        <v>30</v>
      </c>
      <c r="F574" s="11" t="s">
        <v>46</v>
      </c>
      <c r="G574" s="14">
        <v>3</v>
      </c>
      <c r="H574" s="15">
        <v>15000000</v>
      </c>
      <c r="I574" s="11">
        <v>6</v>
      </c>
      <c r="J574" s="16">
        <v>1.9675925925925928E-3</v>
      </c>
      <c r="K574" s="11" t="s">
        <v>18</v>
      </c>
      <c r="L574" s="11" t="s">
        <v>31</v>
      </c>
      <c r="M574" s="11" t="s">
        <v>52</v>
      </c>
      <c r="N574" s="11" t="s">
        <v>27</v>
      </c>
      <c r="O574" s="11" t="s">
        <v>56</v>
      </c>
    </row>
    <row r="575" spans="2:15" ht="21" customHeight="1" x14ac:dyDescent="0.3">
      <c r="B575" s="4" t="s">
        <v>14</v>
      </c>
      <c r="C575" s="5">
        <v>11</v>
      </c>
      <c r="D575" s="6" t="s">
        <v>61</v>
      </c>
      <c r="E575" s="4" t="s">
        <v>16</v>
      </c>
      <c r="F575" s="4" t="s">
        <v>46</v>
      </c>
      <c r="G575" s="7">
        <v>4</v>
      </c>
      <c r="H575" s="1">
        <v>20000000</v>
      </c>
      <c r="I575" s="4">
        <v>2</v>
      </c>
      <c r="J575" s="8">
        <v>1.9675925925925928E-3</v>
      </c>
      <c r="K575" s="4" t="s">
        <v>18</v>
      </c>
      <c r="L575" s="4" t="s">
        <v>19</v>
      </c>
      <c r="M575" s="4" t="s">
        <v>47</v>
      </c>
      <c r="N575" s="4" t="s">
        <v>21</v>
      </c>
      <c r="O575" s="4" t="s">
        <v>67</v>
      </c>
    </row>
    <row r="576" spans="2:15" ht="21" customHeight="1" x14ac:dyDescent="0.3">
      <c r="B576" s="11" t="s">
        <v>74</v>
      </c>
      <c r="C576" s="12">
        <v>24</v>
      </c>
      <c r="D576" s="13" t="s">
        <v>29</v>
      </c>
      <c r="E576" s="11" t="s">
        <v>34</v>
      </c>
      <c r="F576" s="11" t="s">
        <v>46</v>
      </c>
      <c r="G576" s="14">
        <v>0</v>
      </c>
      <c r="H576" s="15">
        <v>0</v>
      </c>
      <c r="I576" s="11">
        <v>2</v>
      </c>
      <c r="J576" s="16">
        <v>1.9675925925925928E-3</v>
      </c>
      <c r="K576" s="11"/>
      <c r="L576" s="11"/>
      <c r="M576" s="11" t="s">
        <v>55</v>
      </c>
      <c r="N576" s="11" t="s">
        <v>39</v>
      </c>
      <c r="O576" s="11" t="s">
        <v>40</v>
      </c>
    </row>
    <row r="577" spans="2:15" ht="21" customHeight="1" x14ac:dyDescent="0.3">
      <c r="B577" s="4" t="s">
        <v>74</v>
      </c>
      <c r="C577" s="5">
        <v>28</v>
      </c>
      <c r="D577" s="6" t="s">
        <v>48</v>
      </c>
      <c r="E577" s="4" t="s">
        <v>16</v>
      </c>
      <c r="F577" s="4" t="s">
        <v>46</v>
      </c>
      <c r="G577" s="7">
        <v>0</v>
      </c>
      <c r="H577" s="1">
        <v>0</v>
      </c>
      <c r="I577" s="4">
        <v>2</v>
      </c>
      <c r="J577" s="8">
        <v>1.9675925925925928E-3</v>
      </c>
      <c r="K577" s="4"/>
      <c r="L577" s="4"/>
      <c r="M577" s="4" t="s">
        <v>35</v>
      </c>
      <c r="N577" s="4" t="s">
        <v>27</v>
      </c>
      <c r="O577" s="4" t="s">
        <v>33</v>
      </c>
    </row>
    <row r="578" spans="2:15" ht="21" customHeight="1" x14ac:dyDescent="0.3">
      <c r="B578" s="11" t="s">
        <v>74</v>
      </c>
      <c r="C578" s="12">
        <v>11</v>
      </c>
      <c r="D578" s="13" t="s">
        <v>48</v>
      </c>
      <c r="E578" s="11" t="s">
        <v>53</v>
      </c>
      <c r="F578" s="11" t="s">
        <v>24</v>
      </c>
      <c r="G578" s="14">
        <v>0</v>
      </c>
      <c r="H578" s="15">
        <v>0</v>
      </c>
      <c r="I578" s="11">
        <v>3</v>
      </c>
      <c r="J578" s="16">
        <v>1.9675925925925928E-3</v>
      </c>
      <c r="K578" s="11"/>
      <c r="L578" s="11"/>
      <c r="M578" s="11" t="s">
        <v>44</v>
      </c>
      <c r="N578" s="11" t="s">
        <v>36</v>
      </c>
      <c r="O578" s="11" t="s">
        <v>69</v>
      </c>
    </row>
    <row r="579" spans="2:15" ht="21" customHeight="1" x14ac:dyDescent="0.3">
      <c r="B579" s="4" t="s">
        <v>14</v>
      </c>
      <c r="C579" s="5">
        <v>12</v>
      </c>
      <c r="D579" s="6" t="s">
        <v>59</v>
      </c>
      <c r="E579" s="4" t="s">
        <v>16</v>
      </c>
      <c r="F579" s="4" t="s">
        <v>24</v>
      </c>
      <c r="G579" s="7">
        <v>2</v>
      </c>
      <c r="H579" s="1">
        <v>12000000</v>
      </c>
      <c r="I579" s="4">
        <v>3</v>
      </c>
      <c r="J579" s="8">
        <v>2.0370370370370373E-3</v>
      </c>
      <c r="K579" s="4" t="s">
        <v>18</v>
      </c>
      <c r="L579" s="4" t="s">
        <v>43</v>
      </c>
      <c r="M579" s="4" t="s">
        <v>35</v>
      </c>
      <c r="N579" s="4" t="s">
        <v>27</v>
      </c>
      <c r="O579" s="4" t="s">
        <v>75</v>
      </c>
    </row>
    <row r="580" spans="2:15" ht="21" customHeight="1" x14ac:dyDescent="0.3">
      <c r="B580" s="11" t="s">
        <v>14</v>
      </c>
      <c r="C580" s="12">
        <v>17</v>
      </c>
      <c r="D580" s="13" t="s">
        <v>64</v>
      </c>
      <c r="E580" s="11" t="s">
        <v>16</v>
      </c>
      <c r="F580" s="11" t="s">
        <v>46</v>
      </c>
      <c r="G580" s="14">
        <v>4</v>
      </c>
      <c r="H580" s="15">
        <v>20000000</v>
      </c>
      <c r="I580" s="11">
        <v>1</v>
      </c>
      <c r="J580" s="16">
        <v>2.0370370370370373E-3</v>
      </c>
      <c r="K580" s="11" t="s">
        <v>65</v>
      </c>
      <c r="L580" s="11" t="s">
        <v>25</v>
      </c>
      <c r="M580" s="11" t="s">
        <v>52</v>
      </c>
      <c r="N580" s="11" t="s">
        <v>21</v>
      </c>
      <c r="O580" s="11" t="s">
        <v>70</v>
      </c>
    </row>
    <row r="581" spans="2:15" ht="21" customHeight="1" x14ac:dyDescent="0.3">
      <c r="B581" s="4" t="s">
        <v>14</v>
      </c>
      <c r="C581" s="5">
        <v>27</v>
      </c>
      <c r="D581" s="6" t="s">
        <v>29</v>
      </c>
      <c r="E581" s="4" t="s">
        <v>53</v>
      </c>
      <c r="F581" s="4" t="s">
        <v>24</v>
      </c>
      <c r="G581" s="7">
        <v>5</v>
      </c>
      <c r="H581" s="1">
        <v>25000000</v>
      </c>
      <c r="I581" s="4">
        <v>1</v>
      </c>
      <c r="J581" s="8">
        <v>2.0370370370370373E-3</v>
      </c>
      <c r="K581" s="4" t="s">
        <v>18</v>
      </c>
      <c r="L581" s="4" t="s">
        <v>60</v>
      </c>
      <c r="M581" s="4" t="s">
        <v>52</v>
      </c>
      <c r="N581" s="4" t="s">
        <v>21</v>
      </c>
      <c r="O581" s="4" t="s">
        <v>66</v>
      </c>
    </row>
    <row r="582" spans="2:15" ht="21" customHeight="1" x14ac:dyDescent="0.3">
      <c r="B582" s="11" t="s">
        <v>14</v>
      </c>
      <c r="C582" s="12">
        <v>15</v>
      </c>
      <c r="D582" s="13" t="s">
        <v>29</v>
      </c>
      <c r="E582" s="11" t="s">
        <v>77</v>
      </c>
      <c r="F582" s="11" t="s">
        <v>17</v>
      </c>
      <c r="G582" s="14">
        <v>2</v>
      </c>
      <c r="H582" s="15">
        <v>10000000</v>
      </c>
      <c r="I582" s="11">
        <v>2</v>
      </c>
      <c r="J582" s="16">
        <v>2.0370370370370373E-3</v>
      </c>
      <c r="K582" s="11" t="s">
        <v>18</v>
      </c>
      <c r="L582" s="11" t="s">
        <v>31</v>
      </c>
      <c r="M582" s="11" t="s">
        <v>55</v>
      </c>
      <c r="N582" s="11" t="s">
        <v>27</v>
      </c>
      <c r="O582" s="11" t="s">
        <v>28</v>
      </c>
    </row>
    <row r="583" spans="2:15" ht="21" customHeight="1" x14ac:dyDescent="0.3">
      <c r="B583" s="4" t="s">
        <v>14</v>
      </c>
      <c r="C583" s="5">
        <v>30</v>
      </c>
      <c r="D583" s="6" t="s">
        <v>29</v>
      </c>
      <c r="E583" s="4" t="s">
        <v>77</v>
      </c>
      <c r="F583" s="4" t="s">
        <v>17</v>
      </c>
      <c r="G583" s="7">
        <v>3</v>
      </c>
      <c r="H583" s="1">
        <v>15000000</v>
      </c>
      <c r="I583" s="4">
        <v>4</v>
      </c>
      <c r="J583" s="8">
        <v>2.0370370370370373E-3</v>
      </c>
      <c r="K583" s="4" t="s">
        <v>18</v>
      </c>
      <c r="L583" s="4" t="s">
        <v>43</v>
      </c>
      <c r="M583" s="4" t="s">
        <v>55</v>
      </c>
      <c r="N583" s="4" t="s">
        <v>39</v>
      </c>
      <c r="O583" s="4" t="s">
        <v>71</v>
      </c>
    </row>
    <row r="584" spans="2:15" ht="21" customHeight="1" x14ac:dyDescent="0.3">
      <c r="B584" s="11" t="s">
        <v>14</v>
      </c>
      <c r="C584" s="12">
        <v>8</v>
      </c>
      <c r="D584" s="13" t="s">
        <v>41</v>
      </c>
      <c r="E584" s="11" t="s">
        <v>30</v>
      </c>
      <c r="F584" s="11" t="s">
        <v>17</v>
      </c>
      <c r="G584" s="14">
        <v>1</v>
      </c>
      <c r="H584" s="15">
        <v>19000000</v>
      </c>
      <c r="I584" s="11">
        <v>2</v>
      </c>
      <c r="J584" s="16">
        <v>2.0370370370370373E-3</v>
      </c>
      <c r="K584" s="11" t="s">
        <v>50</v>
      </c>
      <c r="L584" s="11" t="s">
        <v>51</v>
      </c>
      <c r="M584" s="11" t="s">
        <v>47</v>
      </c>
      <c r="N584" s="11" t="s">
        <v>21</v>
      </c>
      <c r="O584" s="11" t="s">
        <v>57</v>
      </c>
    </row>
    <row r="585" spans="2:15" ht="21" customHeight="1" x14ac:dyDescent="0.3">
      <c r="B585" s="4" t="s">
        <v>14</v>
      </c>
      <c r="C585" s="5">
        <v>6</v>
      </c>
      <c r="D585" s="6" t="s">
        <v>41</v>
      </c>
      <c r="E585" s="4" t="s">
        <v>16</v>
      </c>
      <c r="F585" s="4" t="s">
        <v>24</v>
      </c>
      <c r="G585" s="7">
        <v>1</v>
      </c>
      <c r="H585" s="1">
        <v>7000000</v>
      </c>
      <c r="I585" s="4">
        <v>2</v>
      </c>
      <c r="J585" s="8">
        <v>2.0370370370370373E-3</v>
      </c>
      <c r="K585" s="4" t="s">
        <v>18</v>
      </c>
      <c r="L585" s="4" t="s">
        <v>19</v>
      </c>
      <c r="M585" s="4" t="s">
        <v>32</v>
      </c>
      <c r="N585" s="4" t="s">
        <v>21</v>
      </c>
      <c r="O585" s="4" t="s">
        <v>67</v>
      </c>
    </row>
    <row r="586" spans="2:15" ht="21" customHeight="1" x14ac:dyDescent="0.3">
      <c r="B586" s="11" t="s">
        <v>14</v>
      </c>
      <c r="C586" s="12">
        <v>29</v>
      </c>
      <c r="D586" s="13" t="s">
        <v>41</v>
      </c>
      <c r="E586" s="11" t="s">
        <v>53</v>
      </c>
      <c r="F586" s="11" t="s">
        <v>24</v>
      </c>
      <c r="G586" s="14">
        <v>2</v>
      </c>
      <c r="H586" s="15">
        <v>12000000</v>
      </c>
      <c r="I586" s="11">
        <v>1</v>
      </c>
      <c r="J586" s="16">
        <v>2.0370370370370373E-3</v>
      </c>
      <c r="K586" s="11" t="s">
        <v>18</v>
      </c>
      <c r="L586" s="11" t="s">
        <v>38</v>
      </c>
      <c r="M586" s="11" t="s">
        <v>20</v>
      </c>
      <c r="N586" s="11" t="s">
        <v>36</v>
      </c>
      <c r="O586" s="11" t="s">
        <v>58</v>
      </c>
    </row>
    <row r="587" spans="2:15" ht="21" customHeight="1" x14ac:dyDescent="0.3">
      <c r="B587" s="4" t="s">
        <v>14</v>
      </c>
      <c r="C587" s="5">
        <v>3</v>
      </c>
      <c r="D587" s="6" t="s">
        <v>48</v>
      </c>
      <c r="E587" s="4" t="s">
        <v>16</v>
      </c>
      <c r="F587" s="4" t="s">
        <v>24</v>
      </c>
      <c r="G587" s="7">
        <v>5</v>
      </c>
      <c r="H587" s="1">
        <v>25000000</v>
      </c>
      <c r="I587" s="4">
        <v>2</v>
      </c>
      <c r="J587" s="8">
        <v>2.0370370370370373E-3</v>
      </c>
      <c r="K587" s="4" t="s">
        <v>18</v>
      </c>
      <c r="L587" s="4" t="s">
        <v>31</v>
      </c>
      <c r="M587" s="4" t="s">
        <v>20</v>
      </c>
      <c r="N587" s="4" t="s">
        <v>21</v>
      </c>
      <c r="O587" s="4" t="s">
        <v>57</v>
      </c>
    </row>
    <row r="588" spans="2:15" ht="21" customHeight="1" x14ac:dyDescent="0.3">
      <c r="B588" s="11" t="s">
        <v>14</v>
      </c>
      <c r="C588" s="12">
        <v>30</v>
      </c>
      <c r="D588" s="13" t="s">
        <v>73</v>
      </c>
      <c r="E588" s="11" t="s">
        <v>34</v>
      </c>
      <c r="F588" s="11" t="s">
        <v>46</v>
      </c>
      <c r="G588" s="14">
        <v>2</v>
      </c>
      <c r="H588" s="15">
        <v>38000000</v>
      </c>
      <c r="I588" s="11">
        <v>2</v>
      </c>
      <c r="J588" s="16">
        <v>2.0370370370370373E-3</v>
      </c>
      <c r="K588" s="11" t="s">
        <v>50</v>
      </c>
      <c r="L588" s="11" t="s">
        <v>68</v>
      </c>
      <c r="M588" s="11" t="s">
        <v>32</v>
      </c>
      <c r="N588" s="11" t="s">
        <v>21</v>
      </c>
      <c r="O588" s="11" t="s">
        <v>67</v>
      </c>
    </row>
    <row r="589" spans="2:15" ht="21" customHeight="1" x14ac:dyDescent="0.3">
      <c r="B589" s="4" t="s">
        <v>14</v>
      </c>
      <c r="C589" s="5">
        <v>21</v>
      </c>
      <c r="D589" s="6" t="s">
        <v>73</v>
      </c>
      <c r="E589" s="4" t="s">
        <v>42</v>
      </c>
      <c r="F589" s="4" t="s">
        <v>24</v>
      </c>
      <c r="G589" s="7">
        <v>3</v>
      </c>
      <c r="H589" s="1">
        <v>15000000</v>
      </c>
      <c r="I589" s="4">
        <v>3</v>
      </c>
      <c r="J589" s="8">
        <v>2.0370370370370373E-3</v>
      </c>
      <c r="K589" s="4" t="s">
        <v>18</v>
      </c>
      <c r="L589" s="4" t="s">
        <v>19</v>
      </c>
      <c r="M589" s="4" t="s">
        <v>35</v>
      </c>
      <c r="N589" s="4" t="s">
        <v>36</v>
      </c>
      <c r="O589" s="4" t="s">
        <v>69</v>
      </c>
    </row>
    <row r="590" spans="2:15" ht="21" customHeight="1" x14ac:dyDescent="0.3">
      <c r="B590" s="11" t="s">
        <v>14</v>
      </c>
      <c r="C590" s="12">
        <v>12</v>
      </c>
      <c r="D590" s="13" t="s">
        <v>59</v>
      </c>
      <c r="E590" s="11" t="s">
        <v>16</v>
      </c>
      <c r="F590" s="11" t="s">
        <v>24</v>
      </c>
      <c r="G590" s="14">
        <v>2</v>
      </c>
      <c r="H590" s="15">
        <v>12000000</v>
      </c>
      <c r="I590" s="11">
        <v>3</v>
      </c>
      <c r="J590" s="16">
        <v>2.0370370370370373E-3</v>
      </c>
      <c r="K590" s="11" t="s">
        <v>18</v>
      </c>
      <c r="L590" s="11" t="s">
        <v>43</v>
      </c>
      <c r="M590" s="11" t="s">
        <v>35</v>
      </c>
      <c r="N590" s="11" t="s">
        <v>27</v>
      </c>
      <c r="O590" s="11" t="s">
        <v>75</v>
      </c>
    </row>
    <row r="591" spans="2:15" ht="21" customHeight="1" x14ac:dyDescent="0.3">
      <c r="B591" s="4" t="s">
        <v>14</v>
      </c>
      <c r="C591" s="5">
        <v>17</v>
      </c>
      <c r="D591" s="6" t="s">
        <v>64</v>
      </c>
      <c r="E591" s="4" t="s">
        <v>16</v>
      </c>
      <c r="F591" s="4" t="s">
        <v>46</v>
      </c>
      <c r="G591" s="7">
        <v>4</v>
      </c>
      <c r="H591" s="1">
        <v>20000000</v>
      </c>
      <c r="I591" s="4">
        <v>1</v>
      </c>
      <c r="J591" s="8">
        <v>2.0370370370370373E-3</v>
      </c>
      <c r="K591" s="4" t="s">
        <v>65</v>
      </c>
      <c r="L591" s="4" t="s">
        <v>25</v>
      </c>
      <c r="M591" s="4" t="s">
        <v>52</v>
      </c>
      <c r="N591" s="4" t="s">
        <v>21</v>
      </c>
      <c r="O591" s="4" t="s">
        <v>70</v>
      </c>
    </row>
    <row r="592" spans="2:15" ht="21" customHeight="1" x14ac:dyDescent="0.3">
      <c r="B592" s="11" t="s">
        <v>74</v>
      </c>
      <c r="C592" s="12">
        <v>11</v>
      </c>
      <c r="D592" s="13" t="s">
        <v>48</v>
      </c>
      <c r="E592" s="11" t="s">
        <v>42</v>
      </c>
      <c r="F592" s="11" t="s">
        <v>24</v>
      </c>
      <c r="G592" s="14">
        <v>0</v>
      </c>
      <c r="H592" s="15">
        <v>0</v>
      </c>
      <c r="I592" s="11">
        <v>2</v>
      </c>
      <c r="J592" s="16">
        <v>2.0370370370370373E-3</v>
      </c>
      <c r="K592" s="11"/>
      <c r="L592" s="11"/>
      <c r="M592" s="11" t="s">
        <v>26</v>
      </c>
      <c r="N592" s="11" t="s">
        <v>27</v>
      </c>
      <c r="O592" s="11" t="s">
        <v>33</v>
      </c>
    </row>
    <row r="593" spans="2:15" ht="21" customHeight="1" x14ac:dyDescent="0.3">
      <c r="B593" s="4" t="s">
        <v>74</v>
      </c>
      <c r="C593" s="5">
        <v>1</v>
      </c>
      <c r="D593" s="6" t="s">
        <v>73</v>
      </c>
      <c r="E593" s="4" t="s">
        <v>16</v>
      </c>
      <c r="F593" s="4" t="s">
        <v>24</v>
      </c>
      <c r="G593" s="7">
        <v>0</v>
      </c>
      <c r="H593" s="1">
        <v>0</v>
      </c>
      <c r="I593" s="4">
        <v>2</v>
      </c>
      <c r="J593" s="8">
        <v>2.0370370370370373E-3</v>
      </c>
      <c r="K593" s="4"/>
      <c r="L593" s="4"/>
      <c r="M593" s="4" t="s">
        <v>47</v>
      </c>
      <c r="N593" s="4" t="s">
        <v>39</v>
      </c>
      <c r="O593" s="4" t="s">
        <v>71</v>
      </c>
    </row>
    <row r="594" spans="2:15" ht="21" customHeight="1" x14ac:dyDescent="0.3">
      <c r="B594" s="11" t="s">
        <v>14</v>
      </c>
      <c r="C594" s="12">
        <v>15</v>
      </c>
      <c r="D594" s="13" t="s">
        <v>61</v>
      </c>
      <c r="E594" s="11" t="s">
        <v>16</v>
      </c>
      <c r="F594" s="11" t="s">
        <v>24</v>
      </c>
      <c r="G594" s="14">
        <v>2</v>
      </c>
      <c r="H594" s="15">
        <v>12000000</v>
      </c>
      <c r="I594" s="11">
        <v>2</v>
      </c>
      <c r="J594" s="16">
        <v>2.0833333333333333E-3</v>
      </c>
      <c r="K594" s="11" t="s">
        <v>18</v>
      </c>
      <c r="L594" s="11" t="s">
        <v>31</v>
      </c>
      <c r="M594" s="11" t="s">
        <v>55</v>
      </c>
      <c r="N594" s="11" t="s">
        <v>27</v>
      </c>
      <c r="O594" s="11" t="s">
        <v>28</v>
      </c>
    </row>
    <row r="595" spans="2:15" ht="21" customHeight="1" x14ac:dyDescent="0.3">
      <c r="B595" s="4" t="s">
        <v>14</v>
      </c>
      <c r="C595" s="5">
        <v>8</v>
      </c>
      <c r="D595" s="6" t="s">
        <v>63</v>
      </c>
      <c r="E595" s="4" t="s">
        <v>16</v>
      </c>
      <c r="F595" s="4" t="s">
        <v>46</v>
      </c>
      <c r="G595" s="7">
        <v>3</v>
      </c>
      <c r="H595" s="1">
        <v>15000000</v>
      </c>
      <c r="I595" s="4">
        <v>3</v>
      </c>
      <c r="J595" s="8">
        <v>2.0833333333333333E-3</v>
      </c>
      <c r="K595" s="4" t="s">
        <v>18</v>
      </c>
      <c r="L595" s="4" t="s">
        <v>31</v>
      </c>
      <c r="M595" s="4" t="s">
        <v>44</v>
      </c>
      <c r="N595" s="4" t="s">
        <v>27</v>
      </c>
      <c r="O595" s="4" t="s">
        <v>28</v>
      </c>
    </row>
    <row r="596" spans="2:15" ht="21" customHeight="1" x14ac:dyDescent="0.3">
      <c r="B596" s="11" t="s">
        <v>14</v>
      </c>
      <c r="C596" s="12">
        <v>16</v>
      </c>
      <c r="D596" s="13" t="s">
        <v>23</v>
      </c>
      <c r="E596" s="11" t="s">
        <v>30</v>
      </c>
      <c r="F596" s="11" t="s">
        <v>24</v>
      </c>
      <c r="G596" s="14">
        <v>4</v>
      </c>
      <c r="H596" s="15">
        <v>11000000</v>
      </c>
      <c r="I596" s="11">
        <v>3</v>
      </c>
      <c r="J596" s="16">
        <v>2.0833333333333333E-3</v>
      </c>
      <c r="K596" s="11" t="s">
        <v>65</v>
      </c>
      <c r="L596" s="11" t="s">
        <v>31</v>
      </c>
      <c r="M596" s="11" t="s">
        <v>35</v>
      </c>
      <c r="N596" s="11" t="s">
        <v>21</v>
      </c>
      <c r="O596" s="11" t="s">
        <v>57</v>
      </c>
    </row>
    <row r="597" spans="2:15" ht="21" customHeight="1" x14ac:dyDescent="0.3">
      <c r="B597" s="4" t="s">
        <v>14</v>
      </c>
      <c r="C597" s="5">
        <v>8</v>
      </c>
      <c r="D597" s="6" t="s">
        <v>41</v>
      </c>
      <c r="E597" s="4" t="s">
        <v>16</v>
      </c>
      <c r="F597" s="4" t="s">
        <v>17</v>
      </c>
      <c r="G597" s="7">
        <v>5</v>
      </c>
      <c r="H597" s="1">
        <v>25000000</v>
      </c>
      <c r="I597" s="4">
        <v>2</v>
      </c>
      <c r="J597" s="8">
        <v>2.0833333333333333E-3</v>
      </c>
      <c r="K597" s="4" t="s">
        <v>18</v>
      </c>
      <c r="L597" s="4" t="s">
        <v>31</v>
      </c>
      <c r="M597" s="4" t="s">
        <v>35</v>
      </c>
      <c r="N597" s="4" t="s">
        <v>27</v>
      </c>
      <c r="O597" s="4" t="s">
        <v>56</v>
      </c>
    </row>
    <row r="598" spans="2:15" ht="21" customHeight="1" x14ac:dyDescent="0.3">
      <c r="B598" s="11" t="s">
        <v>14</v>
      </c>
      <c r="C598" s="12">
        <v>21</v>
      </c>
      <c r="D598" s="13" t="s">
        <v>41</v>
      </c>
      <c r="E598" s="11" t="s">
        <v>77</v>
      </c>
      <c r="F598" s="11" t="s">
        <v>46</v>
      </c>
      <c r="G598" s="14">
        <v>2</v>
      </c>
      <c r="H598" s="15">
        <v>12000000</v>
      </c>
      <c r="I598" s="11">
        <v>4</v>
      </c>
      <c r="J598" s="16">
        <v>2.0833333333333333E-3</v>
      </c>
      <c r="K598" s="11" t="s">
        <v>18</v>
      </c>
      <c r="L598" s="11" t="s">
        <v>60</v>
      </c>
      <c r="M598" s="11" t="s">
        <v>47</v>
      </c>
      <c r="N598" s="11" t="s">
        <v>21</v>
      </c>
      <c r="O598" s="11" t="s">
        <v>45</v>
      </c>
    </row>
    <row r="599" spans="2:15" ht="21" customHeight="1" x14ac:dyDescent="0.3">
      <c r="B599" s="4" t="s">
        <v>14</v>
      </c>
      <c r="C599" s="5">
        <v>20</v>
      </c>
      <c r="D599" s="6" t="s">
        <v>41</v>
      </c>
      <c r="E599" s="4" t="s">
        <v>53</v>
      </c>
      <c r="F599" s="4" t="s">
        <v>17</v>
      </c>
      <c r="G599" s="7">
        <v>3</v>
      </c>
      <c r="H599" s="1">
        <v>15000000</v>
      </c>
      <c r="I599" s="4">
        <v>6</v>
      </c>
      <c r="J599" s="8">
        <v>2.0833333333333333E-3</v>
      </c>
      <c r="K599" s="4" t="s">
        <v>18</v>
      </c>
      <c r="L599" s="4" t="s">
        <v>19</v>
      </c>
      <c r="M599" s="4" t="s">
        <v>52</v>
      </c>
      <c r="N599" s="4" t="s">
        <v>21</v>
      </c>
      <c r="O599" s="4" t="s">
        <v>70</v>
      </c>
    </row>
    <row r="600" spans="2:15" ht="21" customHeight="1" x14ac:dyDescent="0.3">
      <c r="B600" s="11" t="s">
        <v>14</v>
      </c>
      <c r="C600" s="12">
        <v>4</v>
      </c>
      <c r="D600" s="13" t="s">
        <v>41</v>
      </c>
      <c r="E600" s="11" t="s">
        <v>16</v>
      </c>
      <c r="F600" s="11" t="s">
        <v>72</v>
      </c>
      <c r="G600" s="14">
        <v>4</v>
      </c>
      <c r="H600" s="15">
        <v>20000000</v>
      </c>
      <c r="I600" s="11">
        <v>3</v>
      </c>
      <c r="J600" s="16">
        <v>2.0833333333333333E-3</v>
      </c>
      <c r="K600" s="11" t="s">
        <v>18</v>
      </c>
      <c r="L600" s="11" t="s">
        <v>19</v>
      </c>
      <c r="M600" s="11" t="s">
        <v>55</v>
      </c>
      <c r="N600" s="11" t="s">
        <v>36</v>
      </c>
      <c r="O600" s="11" t="s">
        <v>69</v>
      </c>
    </row>
    <row r="601" spans="2:15" ht="21" customHeight="1" x14ac:dyDescent="0.3">
      <c r="B601" s="4" t="s">
        <v>14</v>
      </c>
      <c r="C601" s="5">
        <v>22</v>
      </c>
      <c r="D601" s="6" t="s">
        <v>48</v>
      </c>
      <c r="E601" s="4" t="s">
        <v>42</v>
      </c>
      <c r="F601" s="4" t="s">
        <v>46</v>
      </c>
      <c r="G601" s="7">
        <v>3</v>
      </c>
      <c r="H601" s="1">
        <v>15000000</v>
      </c>
      <c r="I601" s="4">
        <v>6</v>
      </c>
      <c r="J601" s="8">
        <v>2.0833333333333333E-3</v>
      </c>
      <c r="K601" s="4" t="s">
        <v>18</v>
      </c>
      <c r="L601" s="4" t="s">
        <v>25</v>
      </c>
      <c r="M601" s="4" t="s">
        <v>47</v>
      </c>
      <c r="N601" s="4" t="s">
        <v>21</v>
      </c>
      <c r="O601" s="4" t="s">
        <v>70</v>
      </c>
    </row>
    <row r="602" spans="2:15" ht="21" customHeight="1" x14ac:dyDescent="0.3">
      <c r="B602" s="11" t="s">
        <v>14</v>
      </c>
      <c r="C602" s="12">
        <v>31</v>
      </c>
      <c r="D602" s="13" t="s">
        <v>73</v>
      </c>
      <c r="E602" s="11" t="s">
        <v>34</v>
      </c>
      <c r="F602" s="11" t="s">
        <v>72</v>
      </c>
      <c r="G602" s="14">
        <v>2</v>
      </c>
      <c r="H602" s="15">
        <v>38000000</v>
      </c>
      <c r="I602" s="11">
        <v>4</v>
      </c>
      <c r="J602" s="16">
        <v>2.0833333333333333E-3</v>
      </c>
      <c r="K602" s="11" t="s">
        <v>50</v>
      </c>
      <c r="L602" s="11" t="s">
        <v>60</v>
      </c>
      <c r="M602" s="11" t="s">
        <v>32</v>
      </c>
      <c r="N602" s="11" t="s">
        <v>27</v>
      </c>
      <c r="O602" s="11" t="s">
        <v>75</v>
      </c>
    </row>
    <row r="603" spans="2:15" ht="21" customHeight="1" x14ac:dyDescent="0.3">
      <c r="B603" s="4" t="s">
        <v>14</v>
      </c>
      <c r="C603" s="5">
        <v>15</v>
      </c>
      <c r="D603" s="6" t="s">
        <v>61</v>
      </c>
      <c r="E603" s="4" t="s">
        <v>16</v>
      </c>
      <c r="F603" s="4" t="s">
        <v>24</v>
      </c>
      <c r="G603" s="7">
        <v>2</v>
      </c>
      <c r="H603" s="1">
        <v>12000000</v>
      </c>
      <c r="I603" s="4">
        <v>2</v>
      </c>
      <c r="J603" s="8">
        <v>2.0833333333333333E-3</v>
      </c>
      <c r="K603" s="4" t="s">
        <v>18</v>
      </c>
      <c r="L603" s="4" t="s">
        <v>31</v>
      </c>
      <c r="M603" s="4" t="s">
        <v>55</v>
      </c>
      <c r="N603" s="4" t="s">
        <v>27</v>
      </c>
      <c r="O603" s="4" t="s">
        <v>28</v>
      </c>
    </row>
    <row r="604" spans="2:15" ht="21" customHeight="1" x14ac:dyDescent="0.3">
      <c r="B604" s="11" t="s">
        <v>14</v>
      </c>
      <c r="C604" s="12">
        <v>8</v>
      </c>
      <c r="D604" s="13" t="s">
        <v>63</v>
      </c>
      <c r="E604" s="11" t="s">
        <v>16</v>
      </c>
      <c r="F604" s="11" t="s">
        <v>46</v>
      </c>
      <c r="G604" s="14">
        <v>3</v>
      </c>
      <c r="H604" s="15">
        <v>15000000</v>
      </c>
      <c r="I604" s="11">
        <v>3</v>
      </c>
      <c r="J604" s="16">
        <v>2.0833333333333333E-3</v>
      </c>
      <c r="K604" s="11" t="s">
        <v>18</v>
      </c>
      <c r="L604" s="11" t="s">
        <v>31</v>
      </c>
      <c r="M604" s="11" t="s">
        <v>44</v>
      </c>
      <c r="N604" s="11" t="s">
        <v>27</v>
      </c>
      <c r="O604" s="11" t="s">
        <v>28</v>
      </c>
    </row>
    <row r="605" spans="2:15" ht="21" customHeight="1" x14ac:dyDescent="0.3">
      <c r="B605" s="4" t="s">
        <v>14</v>
      </c>
      <c r="C605" s="5">
        <v>16</v>
      </c>
      <c r="D605" s="6" t="s">
        <v>23</v>
      </c>
      <c r="E605" s="4" t="s">
        <v>30</v>
      </c>
      <c r="F605" s="4" t="s">
        <v>24</v>
      </c>
      <c r="G605" s="7">
        <v>4</v>
      </c>
      <c r="H605" s="1">
        <v>11000000</v>
      </c>
      <c r="I605" s="4">
        <v>3</v>
      </c>
      <c r="J605" s="8">
        <v>2.0833333333333333E-3</v>
      </c>
      <c r="K605" s="4" t="s">
        <v>65</v>
      </c>
      <c r="L605" s="4" t="s">
        <v>31</v>
      </c>
      <c r="M605" s="4" t="s">
        <v>35</v>
      </c>
      <c r="N605" s="4" t="s">
        <v>21</v>
      </c>
      <c r="O605" s="4" t="s">
        <v>57</v>
      </c>
    </row>
    <row r="606" spans="2:15" ht="21" customHeight="1" x14ac:dyDescent="0.3">
      <c r="B606" s="11" t="s">
        <v>74</v>
      </c>
      <c r="C606" s="12">
        <v>4</v>
      </c>
      <c r="D606" s="13" t="s">
        <v>63</v>
      </c>
      <c r="E606" s="11" t="s">
        <v>16</v>
      </c>
      <c r="F606" s="11" t="s">
        <v>17</v>
      </c>
      <c r="G606" s="14">
        <v>0</v>
      </c>
      <c r="H606" s="15">
        <v>0</v>
      </c>
      <c r="I606" s="11">
        <v>3</v>
      </c>
      <c r="J606" s="16">
        <v>2.0833333333333333E-3</v>
      </c>
      <c r="K606" s="11"/>
      <c r="L606" s="11"/>
      <c r="M606" s="11" t="s">
        <v>32</v>
      </c>
      <c r="N606" s="11" t="s">
        <v>27</v>
      </c>
      <c r="O606" s="11" t="s">
        <v>28</v>
      </c>
    </row>
    <row r="607" spans="2:15" ht="21" customHeight="1" x14ac:dyDescent="0.3">
      <c r="B607" s="4" t="s">
        <v>74</v>
      </c>
      <c r="C607" s="5">
        <v>28</v>
      </c>
      <c r="D607" s="6" t="s">
        <v>29</v>
      </c>
      <c r="E607" s="4" t="s">
        <v>16</v>
      </c>
      <c r="F607" s="4" t="s">
        <v>17</v>
      </c>
      <c r="G607" s="7">
        <v>0</v>
      </c>
      <c r="H607" s="1">
        <v>0</v>
      </c>
      <c r="I607" s="4">
        <v>3</v>
      </c>
      <c r="J607" s="8">
        <v>2.0833333333333333E-3</v>
      </c>
      <c r="K607" s="4"/>
      <c r="L607" s="4"/>
      <c r="M607" s="4" t="s">
        <v>55</v>
      </c>
      <c r="N607" s="4" t="s">
        <v>39</v>
      </c>
      <c r="O607" s="4" t="s">
        <v>40</v>
      </c>
    </row>
    <row r="608" spans="2:15" ht="21" customHeight="1" x14ac:dyDescent="0.3">
      <c r="B608" s="11" t="s">
        <v>74</v>
      </c>
      <c r="C608" s="12">
        <v>10</v>
      </c>
      <c r="D608" s="13" t="s">
        <v>41</v>
      </c>
      <c r="E608" s="11" t="s">
        <v>30</v>
      </c>
      <c r="F608" s="11" t="s">
        <v>46</v>
      </c>
      <c r="G608" s="14">
        <v>0</v>
      </c>
      <c r="H608" s="15">
        <v>0</v>
      </c>
      <c r="I608" s="11">
        <v>3</v>
      </c>
      <c r="J608" s="16">
        <v>2.0833333333333333E-3</v>
      </c>
      <c r="K608" s="11"/>
      <c r="L608" s="11"/>
      <c r="M608" s="11" t="s">
        <v>32</v>
      </c>
      <c r="N608" s="11" t="s">
        <v>21</v>
      </c>
      <c r="O608" s="11" t="s">
        <v>70</v>
      </c>
    </row>
    <row r="609" spans="2:15" ht="21" customHeight="1" x14ac:dyDescent="0.3">
      <c r="B609" s="4" t="s">
        <v>74</v>
      </c>
      <c r="C609" s="5">
        <v>22</v>
      </c>
      <c r="D609" s="6" t="s">
        <v>48</v>
      </c>
      <c r="E609" s="4" t="s">
        <v>53</v>
      </c>
      <c r="F609" s="4" t="s">
        <v>24</v>
      </c>
      <c r="G609" s="7">
        <v>0</v>
      </c>
      <c r="H609" s="1">
        <v>0</v>
      </c>
      <c r="I609" s="4">
        <v>1</v>
      </c>
      <c r="J609" s="8">
        <v>2.0833333333333333E-3</v>
      </c>
      <c r="K609" s="4"/>
      <c r="L609" s="4"/>
      <c r="M609" s="4" t="s">
        <v>44</v>
      </c>
      <c r="N609" s="4" t="s">
        <v>36</v>
      </c>
      <c r="O609" s="4" t="s">
        <v>58</v>
      </c>
    </row>
    <row r="610" spans="2:15" ht="21" customHeight="1" x14ac:dyDescent="0.3">
      <c r="B610" s="11" t="s">
        <v>74</v>
      </c>
      <c r="C610" s="12">
        <v>4</v>
      </c>
      <c r="D610" s="13" t="s">
        <v>63</v>
      </c>
      <c r="E610" s="11" t="s">
        <v>16</v>
      </c>
      <c r="F610" s="11" t="s">
        <v>17</v>
      </c>
      <c r="G610" s="14">
        <v>0</v>
      </c>
      <c r="H610" s="15">
        <v>0</v>
      </c>
      <c r="I610" s="11">
        <v>3</v>
      </c>
      <c r="J610" s="16">
        <v>2.0833333333333333E-3</v>
      </c>
      <c r="K610" s="11"/>
      <c r="L610" s="11"/>
      <c r="M610" s="11" t="s">
        <v>32</v>
      </c>
      <c r="N610" s="11" t="s">
        <v>27</v>
      </c>
      <c r="O610" s="11" t="s">
        <v>28</v>
      </c>
    </row>
    <row r="611" spans="2:15" ht="21" customHeight="1" x14ac:dyDescent="0.3">
      <c r="B611" s="4" t="s">
        <v>14</v>
      </c>
      <c r="C611" s="5">
        <v>4</v>
      </c>
      <c r="D611" s="6" t="s">
        <v>63</v>
      </c>
      <c r="E611" s="4" t="s">
        <v>42</v>
      </c>
      <c r="F611" s="4" t="s">
        <v>46</v>
      </c>
      <c r="G611" s="7">
        <v>1</v>
      </c>
      <c r="H611" s="1">
        <v>19000000</v>
      </c>
      <c r="I611" s="4">
        <v>1</v>
      </c>
      <c r="J611" s="8">
        <v>2.1990740740740742E-3</v>
      </c>
      <c r="K611" s="4" t="s">
        <v>50</v>
      </c>
      <c r="L611" s="4" t="s">
        <v>60</v>
      </c>
      <c r="M611" s="4" t="s">
        <v>35</v>
      </c>
      <c r="N611" s="4" t="s">
        <v>36</v>
      </c>
      <c r="O611" s="4" t="s">
        <v>37</v>
      </c>
    </row>
    <row r="612" spans="2:15" ht="21" customHeight="1" x14ac:dyDescent="0.3">
      <c r="B612" s="11" t="s">
        <v>14</v>
      </c>
      <c r="C612" s="12">
        <v>17</v>
      </c>
      <c r="D612" s="13" t="s">
        <v>23</v>
      </c>
      <c r="E612" s="11" t="s">
        <v>16</v>
      </c>
      <c r="F612" s="11" t="s">
        <v>46</v>
      </c>
      <c r="G612" s="14">
        <v>3</v>
      </c>
      <c r="H612" s="15">
        <v>15000000</v>
      </c>
      <c r="I612" s="11">
        <v>2</v>
      </c>
      <c r="J612" s="16">
        <v>2.1990740740740742E-3</v>
      </c>
      <c r="K612" s="11" t="s">
        <v>18</v>
      </c>
      <c r="L612" s="11" t="s">
        <v>43</v>
      </c>
      <c r="M612" s="11" t="s">
        <v>47</v>
      </c>
      <c r="N612" s="11" t="s">
        <v>27</v>
      </c>
      <c r="O612" s="11" t="s">
        <v>79</v>
      </c>
    </row>
    <row r="613" spans="2:15" ht="21" customHeight="1" x14ac:dyDescent="0.3">
      <c r="B613" s="4" t="s">
        <v>14</v>
      </c>
      <c r="C613" s="5">
        <v>30</v>
      </c>
      <c r="D613" s="6" t="s">
        <v>29</v>
      </c>
      <c r="E613" s="4" t="s">
        <v>16</v>
      </c>
      <c r="F613" s="4" t="s">
        <v>17</v>
      </c>
      <c r="G613" s="7">
        <v>1</v>
      </c>
      <c r="H613" s="1">
        <v>7000000</v>
      </c>
      <c r="I613" s="4">
        <v>2</v>
      </c>
      <c r="J613" s="8">
        <v>2.1990740740740742E-3</v>
      </c>
      <c r="K613" s="4" t="s">
        <v>18</v>
      </c>
      <c r="L613" s="4" t="s">
        <v>19</v>
      </c>
      <c r="M613" s="4" t="s">
        <v>44</v>
      </c>
      <c r="N613" s="4" t="s">
        <v>39</v>
      </c>
      <c r="O613" s="4" t="s">
        <v>40</v>
      </c>
    </row>
    <row r="614" spans="2:15" ht="21" customHeight="1" x14ac:dyDescent="0.3">
      <c r="B614" s="11" t="s">
        <v>14</v>
      </c>
      <c r="C614" s="12">
        <v>18</v>
      </c>
      <c r="D614" s="13" t="s">
        <v>29</v>
      </c>
      <c r="E614" s="11" t="s">
        <v>16</v>
      </c>
      <c r="F614" s="11" t="s">
        <v>46</v>
      </c>
      <c r="G614" s="14">
        <v>2</v>
      </c>
      <c r="H614" s="15">
        <v>12000000</v>
      </c>
      <c r="I614" s="11">
        <v>2</v>
      </c>
      <c r="J614" s="16">
        <v>2.1990740740740742E-3</v>
      </c>
      <c r="K614" s="11" t="s">
        <v>18</v>
      </c>
      <c r="L614" s="11" t="s">
        <v>43</v>
      </c>
      <c r="M614" s="11" t="s">
        <v>20</v>
      </c>
      <c r="N614" s="11" t="s">
        <v>27</v>
      </c>
      <c r="O614" s="11" t="s">
        <v>56</v>
      </c>
    </row>
    <row r="615" spans="2:15" ht="21" customHeight="1" x14ac:dyDescent="0.3">
      <c r="B615" s="4" t="s">
        <v>14</v>
      </c>
      <c r="C615" s="5">
        <v>27</v>
      </c>
      <c r="D615" s="6" t="s">
        <v>29</v>
      </c>
      <c r="E615" s="4" t="s">
        <v>42</v>
      </c>
      <c r="F615" s="4" t="s">
        <v>46</v>
      </c>
      <c r="G615" s="7">
        <v>3</v>
      </c>
      <c r="H615" s="1">
        <v>11000000</v>
      </c>
      <c r="I615" s="4">
        <v>4</v>
      </c>
      <c r="J615" s="8">
        <v>2.1990740740740742E-3</v>
      </c>
      <c r="K615" s="4" t="s">
        <v>18</v>
      </c>
      <c r="L615" s="4" t="s">
        <v>60</v>
      </c>
      <c r="M615" s="4" t="s">
        <v>47</v>
      </c>
      <c r="N615" s="4" t="s">
        <v>21</v>
      </c>
      <c r="O615" s="4" t="s">
        <v>57</v>
      </c>
    </row>
    <row r="616" spans="2:15" ht="21" customHeight="1" x14ac:dyDescent="0.3">
      <c r="B616" s="11" t="s">
        <v>14</v>
      </c>
      <c r="C616" s="12">
        <v>12</v>
      </c>
      <c r="D616" s="13" t="s">
        <v>41</v>
      </c>
      <c r="E616" s="11" t="s">
        <v>34</v>
      </c>
      <c r="F616" s="11" t="s">
        <v>17</v>
      </c>
      <c r="G616" s="14">
        <v>2</v>
      </c>
      <c r="H616" s="15">
        <v>38000000</v>
      </c>
      <c r="I616" s="11">
        <v>4</v>
      </c>
      <c r="J616" s="16">
        <v>2.1990740740740742E-3</v>
      </c>
      <c r="K616" s="11" t="s">
        <v>50</v>
      </c>
      <c r="L616" s="11" t="s">
        <v>31</v>
      </c>
      <c r="M616" s="11" t="s">
        <v>52</v>
      </c>
      <c r="N616" s="11" t="s">
        <v>27</v>
      </c>
      <c r="O616" s="11" t="s">
        <v>75</v>
      </c>
    </row>
    <row r="617" spans="2:15" ht="21" customHeight="1" x14ac:dyDescent="0.3">
      <c r="B617" s="4" t="s">
        <v>14</v>
      </c>
      <c r="C617" s="5">
        <v>8</v>
      </c>
      <c r="D617" s="6" t="s">
        <v>41</v>
      </c>
      <c r="E617" s="4" t="s">
        <v>16</v>
      </c>
      <c r="F617" s="4" t="s">
        <v>24</v>
      </c>
      <c r="G617" s="7">
        <v>2</v>
      </c>
      <c r="H617" s="1">
        <v>12000000</v>
      </c>
      <c r="I617" s="4">
        <v>2</v>
      </c>
      <c r="J617" s="8">
        <v>2.1990740740740742E-3</v>
      </c>
      <c r="K617" s="4" t="s">
        <v>18</v>
      </c>
      <c r="L617" s="4" t="s">
        <v>60</v>
      </c>
      <c r="M617" s="4" t="s">
        <v>26</v>
      </c>
      <c r="N617" s="4" t="s">
        <v>21</v>
      </c>
      <c r="O617" s="4" t="s">
        <v>70</v>
      </c>
    </row>
    <row r="618" spans="2:15" ht="21" customHeight="1" x14ac:dyDescent="0.3">
      <c r="B618" s="11" t="s">
        <v>14</v>
      </c>
      <c r="C618" s="12">
        <v>11</v>
      </c>
      <c r="D618" s="13" t="s">
        <v>48</v>
      </c>
      <c r="E618" s="11" t="s">
        <v>53</v>
      </c>
      <c r="F618" s="11" t="s">
        <v>46</v>
      </c>
      <c r="G618" s="14">
        <v>5</v>
      </c>
      <c r="H618" s="15">
        <v>20000000</v>
      </c>
      <c r="I618" s="11">
        <v>4</v>
      </c>
      <c r="J618" s="16">
        <v>2.1990740740740742E-3</v>
      </c>
      <c r="K618" s="11" t="s">
        <v>18</v>
      </c>
      <c r="L618" s="11" t="s">
        <v>68</v>
      </c>
      <c r="M618" s="11" t="s">
        <v>52</v>
      </c>
      <c r="N618" s="11" t="s">
        <v>36</v>
      </c>
      <c r="O618" s="11" t="s">
        <v>58</v>
      </c>
    </row>
    <row r="619" spans="2:15" ht="21" customHeight="1" x14ac:dyDescent="0.3">
      <c r="B619" s="4" t="s">
        <v>14</v>
      </c>
      <c r="C619" s="5">
        <v>2</v>
      </c>
      <c r="D619" s="6" t="s">
        <v>73</v>
      </c>
      <c r="E619" s="4" t="s">
        <v>16</v>
      </c>
      <c r="F619" s="4" t="s">
        <v>17</v>
      </c>
      <c r="G619" s="7">
        <v>4</v>
      </c>
      <c r="H619" s="1">
        <v>15000000</v>
      </c>
      <c r="I619" s="4">
        <v>1</v>
      </c>
      <c r="J619" s="8">
        <v>2.1990740740740742E-3</v>
      </c>
      <c r="K619" s="4" t="s">
        <v>18</v>
      </c>
      <c r="L619" s="4" t="s">
        <v>19</v>
      </c>
      <c r="M619" s="4" t="s">
        <v>26</v>
      </c>
      <c r="N619" s="4" t="s">
        <v>27</v>
      </c>
      <c r="O619" s="4" t="s">
        <v>33</v>
      </c>
    </row>
    <row r="620" spans="2:15" ht="21" customHeight="1" x14ac:dyDescent="0.3">
      <c r="B620" s="11" t="s">
        <v>14</v>
      </c>
      <c r="C620" s="12">
        <v>4</v>
      </c>
      <c r="D620" s="13" t="s">
        <v>63</v>
      </c>
      <c r="E620" s="11" t="s">
        <v>42</v>
      </c>
      <c r="F620" s="11" t="s">
        <v>46</v>
      </c>
      <c r="G620" s="14">
        <v>1</v>
      </c>
      <c r="H620" s="15">
        <v>19000000</v>
      </c>
      <c r="I620" s="11">
        <v>1</v>
      </c>
      <c r="J620" s="16">
        <v>2.1990740740740742E-3</v>
      </c>
      <c r="K620" s="11" t="s">
        <v>50</v>
      </c>
      <c r="L620" s="11" t="s">
        <v>60</v>
      </c>
      <c r="M620" s="11" t="s">
        <v>35</v>
      </c>
      <c r="N620" s="11" t="s">
        <v>36</v>
      </c>
      <c r="O620" s="11" t="s">
        <v>37</v>
      </c>
    </row>
    <row r="621" spans="2:15" ht="21" customHeight="1" x14ac:dyDescent="0.3">
      <c r="B621" s="4" t="s">
        <v>14</v>
      </c>
      <c r="C621" s="5">
        <v>17</v>
      </c>
      <c r="D621" s="6" t="s">
        <v>23</v>
      </c>
      <c r="E621" s="4" t="s">
        <v>16</v>
      </c>
      <c r="F621" s="4" t="s">
        <v>46</v>
      </c>
      <c r="G621" s="7">
        <v>3</v>
      </c>
      <c r="H621" s="1">
        <v>15000000</v>
      </c>
      <c r="I621" s="4">
        <v>2</v>
      </c>
      <c r="J621" s="8">
        <v>2.1990740740740742E-3</v>
      </c>
      <c r="K621" s="4" t="s">
        <v>18</v>
      </c>
      <c r="L621" s="4" t="s">
        <v>43</v>
      </c>
      <c r="M621" s="4" t="s">
        <v>47</v>
      </c>
      <c r="N621" s="4" t="s">
        <v>27</v>
      </c>
      <c r="O621" s="4" t="s">
        <v>79</v>
      </c>
    </row>
    <row r="622" spans="2:15" ht="21" customHeight="1" x14ac:dyDescent="0.3">
      <c r="B622" s="11" t="s">
        <v>74</v>
      </c>
      <c r="C622" s="12">
        <v>13</v>
      </c>
      <c r="D622" s="13" t="s">
        <v>15</v>
      </c>
      <c r="E622" s="11" t="s">
        <v>30</v>
      </c>
      <c r="F622" s="11" t="s">
        <v>46</v>
      </c>
      <c r="G622" s="14">
        <v>0</v>
      </c>
      <c r="H622" s="15">
        <v>0</v>
      </c>
      <c r="I622" s="11">
        <v>4</v>
      </c>
      <c r="J622" s="16">
        <v>2.1990740740740742E-3</v>
      </c>
      <c r="K622" s="11"/>
      <c r="L622" s="11"/>
      <c r="M622" s="11" t="s">
        <v>52</v>
      </c>
      <c r="N622" s="11" t="s">
        <v>21</v>
      </c>
      <c r="O622" s="11" t="s">
        <v>70</v>
      </c>
    </row>
    <row r="623" spans="2:15" ht="21" customHeight="1" x14ac:dyDescent="0.3">
      <c r="B623" s="4" t="s">
        <v>74</v>
      </c>
      <c r="C623" s="5">
        <v>27</v>
      </c>
      <c r="D623" s="6" t="s">
        <v>41</v>
      </c>
      <c r="E623" s="4" t="s">
        <v>30</v>
      </c>
      <c r="F623" s="4" t="s">
        <v>46</v>
      </c>
      <c r="G623" s="7">
        <v>0</v>
      </c>
      <c r="H623" s="1">
        <v>0</v>
      </c>
      <c r="I623" s="4">
        <v>2</v>
      </c>
      <c r="J623" s="8">
        <v>2.1990740740740742E-3</v>
      </c>
      <c r="K623" s="4"/>
      <c r="L623" s="4"/>
      <c r="M623" s="4" t="s">
        <v>47</v>
      </c>
      <c r="N623" s="4" t="s">
        <v>21</v>
      </c>
      <c r="O623" s="4" t="s">
        <v>66</v>
      </c>
    </row>
    <row r="624" spans="2:15" ht="21" customHeight="1" x14ac:dyDescent="0.3">
      <c r="B624" s="11" t="s">
        <v>74</v>
      </c>
      <c r="C624" s="12">
        <v>20</v>
      </c>
      <c r="D624" s="13" t="s">
        <v>41</v>
      </c>
      <c r="E624" s="11" t="s">
        <v>53</v>
      </c>
      <c r="F624" s="11" t="s">
        <v>46</v>
      </c>
      <c r="G624" s="14">
        <v>0</v>
      </c>
      <c r="H624" s="15">
        <v>0</v>
      </c>
      <c r="I624" s="11">
        <v>1</v>
      </c>
      <c r="J624" s="16">
        <v>2.1990740740740742E-3</v>
      </c>
      <c r="K624" s="11"/>
      <c r="L624" s="11"/>
      <c r="M624" s="11" t="s">
        <v>35</v>
      </c>
      <c r="N624" s="11" t="s">
        <v>39</v>
      </c>
      <c r="O624" s="11" t="s">
        <v>71</v>
      </c>
    </row>
    <row r="625" spans="2:15" ht="21" customHeight="1" x14ac:dyDescent="0.3">
      <c r="B625" s="4" t="s">
        <v>74</v>
      </c>
      <c r="C625" s="5">
        <v>18</v>
      </c>
      <c r="D625" s="6" t="s">
        <v>48</v>
      </c>
      <c r="E625" s="4" t="s">
        <v>34</v>
      </c>
      <c r="F625" s="4" t="s">
        <v>46</v>
      </c>
      <c r="G625" s="7">
        <v>0</v>
      </c>
      <c r="H625" s="1">
        <v>0</v>
      </c>
      <c r="I625" s="4">
        <v>5</v>
      </c>
      <c r="J625" s="8">
        <v>2.1990740740740742E-3</v>
      </c>
      <c r="K625" s="4"/>
      <c r="L625" s="4"/>
      <c r="M625" s="4" t="s">
        <v>55</v>
      </c>
      <c r="N625" s="4" t="s">
        <v>21</v>
      </c>
      <c r="O625" s="4" t="s">
        <v>66</v>
      </c>
    </row>
    <row r="626" spans="2:15" ht="21" customHeight="1" x14ac:dyDescent="0.3">
      <c r="B626" s="11" t="s">
        <v>74</v>
      </c>
      <c r="C626" s="12">
        <v>13</v>
      </c>
      <c r="D626" s="13" t="s">
        <v>15</v>
      </c>
      <c r="E626" s="11" t="s">
        <v>30</v>
      </c>
      <c r="F626" s="11" t="s">
        <v>46</v>
      </c>
      <c r="G626" s="14">
        <v>0</v>
      </c>
      <c r="H626" s="15">
        <v>0</v>
      </c>
      <c r="I626" s="11">
        <v>4</v>
      </c>
      <c r="J626" s="16">
        <v>2.1990740740740742E-3</v>
      </c>
      <c r="K626" s="11"/>
      <c r="L626" s="11"/>
      <c r="M626" s="11" t="s">
        <v>52</v>
      </c>
      <c r="N626" s="11" t="s">
        <v>21</v>
      </c>
      <c r="O626" s="11" t="s">
        <v>70</v>
      </c>
    </row>
    <row r="627" spans="2:15" ht="21" customHeight="1" x14ac:dyDescent="0.3">
      <c r="B627" s="4" t="s">
        <v>14</v>
      </c>
      <c r="C627" s="5">
        <v>17</v>
      </c>
      <c r="D627" s="6" t="s">
        <v>59</v>
      </c>
      <c r="E627" s="4" t="s">
        <v>53</v>
      </c>
      <c r="F627" s="4" t="s">
        <v>72</v>
      </c>
      <c r="G627" s="7">
        <v>3</v>
      </c>
      <c r="H627" s="1">
        <v>15000000</v>
      </c>
      <c r="I627" s="4">
        <v>1</v>
      </c>
      <c r="J627" s="8">
        <v>2.2222222222222222E-3</v>
      </c>
      <c r="K627" s="4" t="s">
        <v>18</v>
      </c>
      <c r="L627" s="4" t="s">
        <v>25</v>
      </c>
      <c r="M627" s="4" t="s">
        <v>32</v>
      </c>
      <c r="N627" s="4" t="s">
        <v>39</v>
      </c>
      <c r="O627" s="4" t="s">
        <v>71</v>
      </c>
    </row>
    <row r="628" spans="2:15" ht="21" customHeight="1" x14ac:dyDescent="0.3">
      <c r="B628" s="11" t="s">
        <v>14</v>
      </c>
      <c r="C628" s="12">
        <v>11</v>
      </c>
      <c r="D628" s="13" t="s">
        <v>61</v>
      </c>
      <c r="E628" s="11" t="s">
        <v>16</v>
      </c>
      <c r="F628" s="11" t="s">
        <v>46</v>
      </c>
      <c r="G628" s="14">
        <v>3</v>
      </c>
      <c r="H628" s="15">
        <v>15000000</v>
      </c>
      <c r="I628" s="11">
        <v>5</v>
      </c>
      <c r="J628" s="16">
        <v>2.2222222222222222E-3</v>
      </c>
      <c r="K628" s="11" t="s">
        <v>18</v>
      </c>
      <c r="L628" s="11" t="s">
        <v>19</v>
      </c>
      <c r="M628" s="11" t="s">
        <v>55</v>
      </c>
      <c r="N628" s="11" t="s">
        <v>39</v>
      </c>
      <c r="O628" s="11" t="s">
        <v>40</v>
      </c>
    </row>
    <row r="629" spans="2:15" ht="21" customHeight="1" x14ac:dyDescent="0.3">
      <c r="B629" s="4" t="s">
        <v>14</v>
      </c>
      <c r="C629" s="5">
        <v>1</v>
      </c>
      <c r="D629" s="6" t="s">
        <v>63</v>
      </c>
      <c r="E629" s="4" t="s">
        <v>53</v>
      </c>
      <c r="F629" s="4" t="s">
        <v>46</v>
      </c>
      <c r="G629" s="7">
        <v>4</v>
      </c>
      <c r="H629" s="1">
        <v>20000000</v>
      </c>
      <c r="I629" s="4">
        <v>3</v>
      </c>
      <c r="J629" s="8">
        <v>2.2222222222222222E-3</v>
      </c>
      <c r="K629" s="4" t="s">
        <v>18</v>
      </c>
      <c r="L629" s="4" t="s">
        <v>60</v>
      </c>
      <c r="M629" s="4" t="s">
        <v>35</v>
      </c>
      <c r="N629" s="4" t="s">
        <v>27</v>
      </c>
      <c r="O629" s="4" t="s">
        <v>56</v>
      </c>
    </row>
    <row r="630" spans="2:15" ht="21" customHeight="1" x14ac:dyDescent="0.3">
      <c r="B630" s="11" t="s">
        <v>14</v>
      </c>
      <c r="C630" s="12">
        <v>10</v>
      </c>
      <c r="D630" s="13" t="s">
        <v>76</v>
      </c>
      <c r="E630" s="11" t="s">
        <v>34</v>
      </c>
      <c r="F630" s="11" t="s">
        <v>46</v>
      </c>
      <c r="G630" s="14">
        <v>1</v>
      </c>
      <c r="H630" s="15">
        <v>7000000</v>
      </c>
      <c r="I630" s="11">
        <v>4</v>
      </c>
      <c r="J630" s="16">
        <v>2.2222222222222222E-3</v>
      </c>
      <c r="K630" s="11" t="s">
        <v>18</v>
      </c>
      <c r="L630" s="11" t="s">
        <v>19</v>
      </c>
      <c r="M630" s="11" t="s">
        <v>55</v>
      </c>
      <c r="N630" s="11" t="s">
        <v>21</v>
      </c>
      <c r="O630" s="11" t="s">
        <v>57</v>
      </c>
    </row>
    <row r="631" spans="2:15" ht="21" customHeight="1" x14ac:dyDescent="0.3">
      <c r="B631" s="4" t="s">
        <v>14</v>
      </c>
      <c r="C631" s="5">
        <v>30</v>
      </c>
      <c r="D631" s="6" t="s">
        <v>29</v>
      </c>
      <c r="E631" s="4" t="s">
        <v>16</v>
      </c>
      <c r="F631" s="4" t="s">
        <v>46</v>
      </c>
      <c r="G631" s="7">
        <v>1</v>
      </c>
      <c r="H631" s="1">
        <v>19000000</v>
      </c>
      <c r="I631" s="4">
        <v>1</v>
      </c>
      <c r="J631" s="8">
        <v>2.2222222222222222E-3</v>
      </c>
      <c r="K631" s="4" t="s">
        <v>50</v>
      </c>
      <c r="L631" s="4" t="s">
        <v>31</v>
      </c>
      <c r="M631" s="4" t="s">
        <v>20</v>
      </c>
      <c r="N631" s="4" t="s">
        <v>27</v>
      </c>
      <c r="O631" s="4" t="s">
        <v>33</v>
      </c>
    </row>
    <row r="632" spans="2:15" ht="21" customHeight="1" x14ac:dyDescent="0.3">
      <c r="B632" s="11" t="s">
        <v>14</v>
      </c>
      <c r="C632" s="12">
        <v>28</v>
      </c>
      <c r="D632" s="13" t="s">
        <v>29</v>
      </c>
      <c r="E632" s="11" t="s">
        <v>53</v>
      </c>
      <c r="F632" s="11" t="s">
        <v>49</v>
      </c>
      <c r="G632" s="14">
        <v>4</v>
      </c>
      <c r="H632" s="15">
        <v>11000000</v>
      </c>
      <c r="I632" s="11">
        <v>2</v>
      </c>
      <c r="J632" s="16">
        <v>2.2222222222222222E-3</v>
      </c>
      <c r="K632" s="11" t="s">
        <v>65</v>
      </c>
      <c r="L632" s="11" t="s">
        <v>60</v>
      </c>
      <c r="M632" s="11" t="s">
        <v>20</v>
      </c>
      <c r="N632" s="11" t="s">
        <v>27</v>
      </c>
      <c r="O632" s="11" t="s">
        <v>28</v>
      </c>
    </row>
    <row r="633" spans="2:15" ht="21" customHeight="1" x14ac:dyDescent="0.3">
      <c r="B633" s="4" t="s">
        <v>14</v>
      </c>
      <c r="C633" s="5">
        <v>22</v>
      </c>
      <c r="D633" s="6" t="s">
        <v>29</v>
      </c>
      <c r="E633" s="4" t="s">
        <v>16</v>
      </c>
      <c r="F633" s="4" t="s">
        <v>46</v>
      </c>
      <c r="G633" s="7">
        <v>5</v>
      </c>
      <c r="H633" s="1">
        <v>25000000</v>
      </c>
      <c r="I633" s="4">
        <v>3</v>
      </c>
      <c r="J633" s="8">
        <v>2.2222222222222222E-3</v>
      </c>
      <c r="K633" s="4" t="s">
        <v>18</v>
      </c>
      <c r="L633" s="4" t="s">
        <v>19</v>
      </c>
      <c r="M633" s="4" t="s">
        <v>47</v>
      </c>
      <c r="N633" s="4" t="s">
        <v>36</v>
      </c>
      <c r="O633" s="4" t="s">
        <v>69</v>
      </c>
    </row>
    <row r="634" spans="2:15" ht="21" customHeight="1" x14ac:dyDescent="0.3">
      <c r="B634" s="11" t="s">
        <v>14</v>
      </c>
      <c r="C634" s="12">
        <v>11</v>
      </c>
      <c r="D634" s="13" t="s">
        <v>29</v>
      </c>
      <c r="E634" s="11" t="s">
        <v>16</v>
      </c>
      <c r="F634" s="11" t="s">
        <v>17</v>
      </c>
      <c r="G634" s="14">
        <v>2</v>
      </c>
      <c r="H634" s="15">
        <v>12000000</v>
      </c>
      <c r="I634" s="11">
        <v>3</v>
      </c>
      <c r="J634" s="16">
        <v>2.2222222222222222E-3</v>
      </c>
      <c r="K634" s="11" t="s">
        <v>18</v>
      </c>
      <c r="L634" s="11" t="s">
        <v>19</v>
      </c>
      <c r="M634" s="11" t="s">
        <v>55</v>
      </c>
      <c r="N634" s="11" t="s">
        <v>27</v>
      </c>
      <c r="O634" s="11" t="s">
        <v>75</v>
      </c>
    </row>
    <row r="635" spans="2:15" ht="21" customHeight="1" x14ac:dyDescent="0.3">
      <c r="B635" s="4" t="s">
        <v>14</v>
      </c>
      <c r="C635" s="5">
        <v>30</v>
      </c>
      <c r="D635" s="6" t="s">
        <v>29</v>
      </c>
      <c r="E635" s="4" t="s">
        <v>42</v>
      </c>
      <c r="F635" s="4" t="s">
        <v>24</v>
      </c>
      <c r="G635" s="7">
        <v>3</v>
      </c>
      <c r="H635" s="1">
        <v>15000000</v>
      </c>
      <c r="I635" s="4">
        <v>5</v>
      </c>
      <c r="J635" s="8">
        <v>2.2222222222222222E-3</v>
      </c>
      <c r="K635" s="4" t="s">
        <v>18</v>
      </c>
      <c r="L635" s="4" t="s">
        <v>31</v>
      </c>
      <c r="M635" s="4" t="s">
        <v>55</v>
      </c>
      <c r="N635" s="4" t="s">
        <v>27</v>
      </c>
      <c r="O635" s="4" t="s">
        <v>56</v>
      </c>
    </row>
    <row r="636" spans="2:15" ht="21" customHeight="1" x14ac:dyDescent="0.3">
      <c r="B636" s="11" t="s">
        <v>14</v>
      </c>
      <c r="C636" s="12">
        <v>2</v>
      </c>
      <c r="D636" s="13" t="s">
        <v>41</v>
      </c>
      <c r="E636" s="11" t="s">
        <v>53</v>
      </c>
      <c r="F636" s="11" t="s">
        <v>46</v>
      </c>
      <c r="G636" s="14">
        <v>5</v>
      </c>
      <c r="H636" s="15">
        <v>21000000</v>
      </c>
      <c r="I636" s="11">
        <v>1</v>
      </c>
      <c r="J636" s="16">
        <v>2.2222222222222222E-3</v>
      </c>
      <c r="K636" s="11" t="s">
        <v>18</v>
      </c>
      <c r="L636" s="11" t="s">
        <v>51</v>
      </c>
      <c r="M636" s="11" t="s">
        <v>32</v>
      </c>
      <c r="N636" s="11" t="s">
        <v>36</v>
      </c>
      <c r="O636" s="11" t="s">
        <v>58</v>
      </c>
    </row>
    <row r="637" spans="2:15" ht="21" customHeight="1" x14ac:dyDescent="0.3">
      <c r="B637" s="4" t="s">
        <v>14</v>
      </c>
      <c r="C637" s="5">
        <v>25</v>
      </c>
      <c r="D637" s="6" t="s">
        <v>41</v>
      </c>
      <c r="E637" s="4" t="s">
        <v>34</v>
      </c>
      <c r="F637" s="4" t="s">
        <v>17</v>
      </c>
      <c r="G637" s="7">
        <v>5</v>
      </c>
      <c r="H637" s="1">
        <v>25000000</v>
      </c>
      <c r="I637" s="4">
        <v>2</v>
      </c>
      <c r="J637" s="8">
        <v>2.2222222222222222E-3</v>
      </c>
      <c r="K637" s="4" t="s">
        <v>18</v>
      </c>
      <c r="L637" s="4" t="s">
        <v>43</v>
      </c>
      <c r="M637" s="4" t="s">
        <v>32</v>
      </c>
      <c r="N637" s="4" t="s">
        <v>21</v>
      </c>
      <c r="O637" s="4" t="s">
        <v>67</v>
      </c>
    </row>
    <row r="638" spans="2:15" ht="21" customHeight="1" x14ac:dyDescent="0.3">
      <c r="B638" s="11" t="s">
        <v>14</v>
      </c>
      <c r="C638" s="12">
        <v>28</v>
      </c>
      <c r="D638" s="13" t="s">
        <v>41</v>
      </c>
      <c r="E638" s="11" t="s">
        <v>77</v>
      </c>
      <c r="F638" s="11" t="s">
        <v>24</v>
      </c>
      <c r="G638" s="14">
        <v>1</v>
      </c>
      <c r="H638" s="15">
        <v>7000000</v>
      </c>
      <c r="I638" s="11">
        <v>2</v>
      </c>
      <c r="J638" s="16">
        <v>2.2222222222222222E-3</v>
      </c>
      <c r="K638" s="11" t="s">
        <v>18</v>
      </c>
      <c r="L638" s="11" t="s">
        <v>25</v>
      </c>
      <c r="M638" s="11" t="s">
        <v>55</v>
      </c>
      <c r="N638" s="11" t="s">
        <v>27</v>
      </c>
      <c r="O638" s="11" t="s">
        <v>28</v>
      </c>
    </row>
    <row r="639" spans="2:15" ht="21" customHeight="1" x14ac:dyDescent="0.3">
      <c r="B639" s="4" t="s">
        <v>14</v>
      </c>
      <c r="C639" s="5">
        <v>22</v>
      </c>
      <c r="D639" s="6" t="s">
        <v>41</v>
      </c>
      <c r="E639" s="4" t="s">
        <v>34</v>
      </c>
      <c r="F639" s="4" t="s">
        <v>24</v>
      </c>
      <c r="G639" s="7">
        <v>3</v>
      </c>
      <c r="H639" s="1">
        <v>15000000</v>
      </c>
      <c r="I639" s="4">
        <v>2</v>
      </c>
      <c r="J639" s="8">
        <v>2.2222222222222222E-3</v>
      </c>
      <c r="K639" s="4" t="s">
        <v>18</v>
      </c>
      <c r="L639" s="4" t="s">
        <v>31</v>
      </c>
      <c r="M639" s="4" t="s">
        <v>52</v>
      </c>
      <c r="N639" s="4" t="s">
        <v>36</v>
      </c>
      <c r="O639" s="4" t="s">
        <v>58</v>
      </c>
    </row>
    <row r="640" spans="2:15" ht="21" customHeight="1" x14ac:dyDescent="0.3">
      <c r="B640" s="11" t="s">
        <v>14</v>
      </c>
      <c r="C640" s="12">
        <v>25</v>
      </c>
      <c r="D640" s="13" t="s">
        <v>41</v>
      </c>
      <c r="E640" s="11" t="s">
        <v>53</v>
      </c>
      <c r="F640" s="11" t="s">
        <v>46</v>
      </c>
      <c r="G640" s="14">
        <v>2</v>
      </c>
      <c r="H640" s="15">
        <v>12000000</v>
      </c>
      <c r="I640" s="11">
        <v>1</v>
      </c>
      <c r="J640" s="16">
        <v>2.2222222222222222E-3</v>
      </c>
      <c r="K640" s="11" t="s">
        <v>18</v>
      </c>
      <c r="L640" s="11" t="s">
        <v>31</v>
      </c>
      <c r="M640" s="11" t="s">
        <v>52</v>
      </c>
      <c r="N640" s="11" t="s">
        <v>36</v>
      </c>
      <c r="O640" s="11" t="s">
        <v>69</v>
      </c>
    </row>
    <row r="641" spans="2:15" ht="21" customHeight="1" x14ac:dyDescent="0.3">
      <c r="B641" s="4" t="s">
        <v>14</v>
      </c>
      <c r="C641" s="5">
        <v>29</v>
      </c>
      <c r="D641" s="6" t="s">
        <v>41</v>
      </c>
      <c r="E641" s="4" t="s">
        <v>53</v>
      </c>
      <c r="F641" s="4" t="s">
        <v>46</v>
      </c>
      <c r="G641" s="7">
        <v>2</v>
      </c>
      <c r="H641" s="1">
        <v>12000000</v>
      </c>
      <c r="I641" s="4">
        <v>1</v>
      </c>
      <c r="J641" s="8">
        <v>2.2222222222222222E-3</v>
      </c>
      <c r="K641" s="4" t="s">
        <v>18</v>
      </c>
      <c r="L641" s="4" t="s">
        <v>25</v>
      </c>
      <c r="M641" s="4" t="s">
        <v>55</v>
      </c>
      <c r="N641" s="4" t="s">
        <v>27</v>
      </c>
      <c r="O641" s="4" t="s">
        <v>28</v>
      </c>
    </row>
    <row r="642" spans="2:15" ht="21" customHeight="1" x14ac:dyDescent="0.3">
      <c r="B642" s="11" t="s">
        <v>14</v>
      </c>
      <c r="C642" s="12">
        <v>20</v>
      </c>
      <c r="D642" s="13" t="s">
        <v>48</v>
      </c>
      <c r="E642" s="11" t="s">
        <v>42</v>
      </c>
      <c r="F642" s="11" t="s">
        <v>46</v>
      </c>
      <c r="G642" s="14">
        <v>2</v>
      </c>
      <c r="H642" s="15">
        <v>38000000</v>
      </c>
      <c r="I642" s="11">
        <v>4</v>
      </c>
      <c r="J642" s="16">
        <v>2.2222222222222222E-3</v>
      </c>
      <c r="K642" s="11" t="s">
        <v>78</v>
      </c>
      <c r="L642" s="11" t="s">
        <v>19</v>
      </c>
      <c r="M642" s="11" t="s">
        <v>47</v>
      </c>
      <c r="N642" s="11" t="s">
        <v>39</v>
      </c>
      <c r="O642" s="11" t="s">
        <v>71</v>
      </c>
    </row>
    <row r="643" spans="2:15" ht="21" customHeight="1" x14ac:dyDescent="0.3">
      <c r="B643" s="4" t="s">
        <v>14</v>
      </c>
      <c r="C643" s="5">
        <v>9</v>
      </c>
      <c r="D643" s="6" t="s">
        <v>48</v>
      </c>
      <c r="E643" s="4" t="s">
        <v>34</v>
      </c>
      <c r="F643" s="4" t="s">
        <v>46</v>
      </c>
      <c r="G643" s="7">
        <v>5</v>
      </c>
      <c r="H643" s="1">
        <v>25000000</v>
      </c>
      <c r="I643" s="4">
        <v>2</v>
      </c>
      <c r="J643" s="8">
        <v>2.2222222222222222E-3</v>
      </c>
      <c r="K643" s="4" t="s">
        <v>18</v>
      </c>
      <c r="L643" s="4" t="s">
        <v>38</v>
      </c>
      <c r="M643" s="4" t="s">
        <v>35</v>
      </c>
      <c r="N643" s="4" t="s">
        <v>39</v>
      </c>
      <c r="O643" s="4" t="s">
        <v>40</v>
      </c>
    </row>
    <row r="644" spans="2:15" ht="21" customHeight="1" x14ac:dyDescent="0.3">
      <c r="B644" s="11" t="s">
        <v>14</v>
      </c>
      <c r="C644" s="12">
        <v>17</v>
      </c>
      <c r="D644" s="13" t="s">
        <v>73</v>
      </c>
      <c r="E644" s="11" t="s">
        <v>16</v>
      </c>
      <c r="F644" s="11" t="s">
        <v>24</v>
      </c>
      <c r="G644" s="14">
        <v>4</v>
      </c>
      <c r="H644" s="15">
        <v>11000000</v>
      </c>
      <c r="I644" s="11">
        <v>1</v>
      </c>
      <c r="J644" s="16">
        <v>2.2222222222222222E-3</v>
      </c>
      <c r="K644" s="11" t="s">
        <v>65</v>
      </c>
      <c r="L644" s="11" t="s">
        <v>68</v>
      </c>
      <c r="M644" s="11" t="s">
        <v>20</v>
      </c>
      <c r="N644" s="11" t="s">
        <v>27</v>
      </c>
      <c r="O644" s="11" t="s">
        <v>28</v>
      </c>
    </row>
    <row r="645" spans="2:15" ht="21" customHeight="1" x14ac:dyDescent="0.3">
      <c r="B645" s="4" t="s">
        <v>14</v>
      </c>
      <c r="C645" s="5">
        <v>10</v>
      </c>
      <c r="D645" s="6" t="s">
        <v>73</v>
      </c>
      <c r="E645" s="4" t="s">
        <v>53</v>
      </c>
      <c r="F645" s="4" t="s">
        <v>46</v>
      </c>
      <c r="G645" s="7">
        <v>2</v>
      </c>
      <c r="H645" s="1">
        <v>12000000</v>
      </c>
      <c r="I645" s="4">
        <v>4</v>
      </c>
      <c r="J645" s="8">
        <v>2.2222222222222222E-3</v>
      </c>
      <c r="K645" s="4" t="s">
        <v>18</v>
      </c>
      <c r="L645" s="4" t="s">
        <v>43</v>
      </c>
      <c r="M645" s="4" t="s">
        <v>20</v>
      </c>
      <c r="N645" s="4" t="s">
        <v>27</v>
      </c>
      <c r="O645" s="4" t="s">
        <v>56</v>
      </c>
    </row>
    <row r="646" spans="2:15" ht="21" customHeight="1" x14ac:dyDescent="0.3">
      <c r="B646" s="11" t="s">
        <v>14</v>
      </c>
      <c r="C646" s="12">
        <v>24</v>
      </c>
      <c r="D646" s="13" t="s">
        <v>73</v>
      </c>
      <c r="E646" s="11" t="s">
        <v>53</v>
      </c>
      <c r="F646" s="11" t="s">
        <v>46</v>
      </c>
      <c r="G646" s="14">
        <v>2</v>
      </c>
      <c r="H646" s="15">
        <v>12000000</v>
      </c>
      <c r="I646" s="11">
        <v>2</v>
      </c>
      <c r="J646" s="16">
        <v>2.2222222222222222E-3</v>
      </c>
      <c r="K646" s="11" t="s">
        <v>18</v>
      </c>
      <c r="L646" s="11" t="s">
        <v>31</v>
      </c>
      <c r="M646" s="11" t="s">
        <v>47</v>
      </c>
      <c r="N646" s="11" t="s">
        <v>36</v>
      </c>
      <c r="O646" s="11" t="s">
        <v>58</v>
      </c>
    </row>
    <row r="647" spans="2:15" ht="21" customHeight="1" x14ac:dyDescent="0.3">
      <c r="B647" s="4" t="s">
        <v>14</v>
      </c>
      <c r="C647" s="5">
        <v>20</v>
      </c>
      <c r="D647" s="6" t="s">
        <v>73</v>
      </c>
      <c r="E647" s="4" t="s">
        <v>42</v>
      </c>
      <c r="F647" s="4" t="s">
        <v>24</v>
      </c>
      <c r="G647" s="7">
        <v>4</v>
      </c>
      <c r="H647" s="1">
        <v>20000000</v>
      </c>
      <c r="I647" s="4">
        <v>4</v>
      </c>
      <c r="J647" s="8">
        <v>2.2222222222222222E-3</v>
      </c>
      <c r="K647" s="4" t="s">
        <v>18</v>
      </c>
      <c r="L647" s="4" t="s">
        <v>43</v>
      </c>
      <c r="M647" s="4" t="s">
        <v>52</v>
      </c>
      <c r="N647" s="4" t="s">
        <v>36</v>
      </c>
      <c r="O647" s="4" t="s">
        <v>69</v>
      </c>
    </row>
    <row r="648" spans="2:15" ht="21" customHeight="1" x14ac:dyDescent="0.3">
      <c r="B648" s="11" t="s">
        <v>14</v>
      </c>
      <c r="C648" s="12">
        <v>17</v>
      </c>
      <c r="D648" s="13" t="s">
        <v>59</v>
      </c>
      <c r="E648" s="11" t="s">
        <v>53</v>
      </c>
      <c r="F648" s="11" t="s">
        <v>72</v>
      </c>
      <c r="G648" s="14">
        <v>3</v>
      </c>
      <c r="H648" s="15">
        <v>15000000</v>
      </c>
      <c r="I648" s="11">
        <v>1</v>
      </c>
      <c r="J648" s="16">
        <v>2.2222222222222222E-3</v>
      </c>
      <c r="K648" s="11" t="s">
        <v>18</v>
      </c>
      <c r="L648" s="11" t="s">
        <v>25</v>
      </c>
      <c r="M648" s="11" t="s">
        <v>32</v>
      </c>
      <c r="N648" s="11" t="s">
        <v>39</v>
      </c>
      <c r="O648" s="11" t="s">
        <v>71</v>
      </c>
    </row>
    <row r="649" spans="2:15" ht="21" customHeight="1" x14ac:dyDescent="0.3">
      <c r="B649" s="4" t="s">
        <v>14</v>
      </c>
      <c r="C649" s="5">
        <v>11</v>
      </c>
      <c r="D649" s="6" t="s">
        <v>61</v>
      </c>
      <c r="E649" s="4" t="s">
        <v>16</v>
      </c>
      <c r="F649" s="4" t="s">
        <v>46</v>
      </c>
      <c r="G649" s="7">
        <v>3</v>
      </c>
      <c r="H649" s="1">
        <v>15000000</v>
      </c>
      <c r="I649" s="4">
        <v>5</v>
      </c>
      <c r="J649" s="8">
        <v>2.2222222222222222E-3</v>
      </c>
      <c r="K649" s="4" t="s">
        <v>18</v>
      </c>
      <c r="L649" s="4" t="s">
        <v>19</v>
      </c>
      <c r="M649" s="4" t="s">
        <v>55</v>
      </c>
      <c r="N649" s="4" t="s">
        <v>39</v>
      </c>
      <c r="O649" s="4" t="s">
        <v>40</v>
      </c>
    </row>
    <row r="650" spans="2:15" ht="21" customHeight="1" x14ac:dyDescent="0.3">
      <c r="B650" s="11" t="s">
        <v>14</v>
      </c>
      <c r="C650" s="12">
        <v>1</v>
      </c>
      <c r="D650" s="13" t="s">
        <v>63</v>
      </c>
      <c r="E650" s="11" t="s">
        <v>53</v>
      </c>
      <c r="F650" s="11" t="s">
        <v>46</v>
      </c>
      <c r="G650" s="14">
        <v>4</v>
      </c>
      <c r="H650" s="15">
        <v>20000000</v>
      </c>
      <c r="I650" s="11">
        <v>3</v>
      </c>
      <c r="J650" s="16">
        <v>2.2222222222222222E-3</v>
      </c>
      <c r="K650" s="11" t="s">
        <v>18</v>
      </c>
      <c r="L650" s="11" t="s">
        <v>60</v>
      </c>
      <c r="M650" s="11" t="s">
        <v>35</v>
      </c>
      <c r="N650" s="11" t="s">
        <v>27</v>
      </c>
      <c r="O650" s="11" t="s">
        <v>56</v>
      </c>
    </row>
    <row r="651" spans="2:15" ht="21" customHeight="1" x14ac:dyDescent="0.3">
      <c r="B651" s="4" t="s">
        <v>14</v>
      </c>
      <c r="C651" s="5">
        <v>10</v>
      </c>
      <c r="D651" s="6" t="s">
        <v>76</v>
      </c>
      <c r="E651" s="4" t="s">
        <v>34</v>
      </c>
      <c r="F651" s="4" t="s">
        <v>46</v>
      </c>
      <c r="G651" s="7">
        <v>1</v>
      </c>
      <c r="H651" s="1">
        <v>7000000</v>
      </c>
      <c r="I651" s="4">
        <v>4</v>
      </c>
      <c r="J651" s="8">
        <v>2.2222222222222222E-3</v>
      </c>
      <c r="K651" s="4" t="s">
        <v>18</v>
      </c>
      <c r="L651" s="4" t="s">
        <v>19</v>
      </c>
      <c r="M651" s="4" t="s">
        <v>55</v>
      </c>
      <c r="N651" s="4" t="s">
        <v>21</v>
      </c>
      <c r="O651" s="4" t="s">
        <v>57</v>
      </c>
    </row>
    <row r="652" spans="2:15" ht="21" customHeight="1" x14ac:dyDescent="0.3">
      <c r="B652" s="11" t="s">
        <v>74</v>
      </c>
      <c r="C652" s="12">
        <v>21</v>
      </c>
      <c r="D652" s="13" t="s">
        <v>61</v>
      </c>
      <c r="E652" s="11" t="s">
        <v>77</v>
      </c>
      <c r="F652" s="11" t="s">
        <v>46</v>
      </c>
      <c r="G652" s="14">
        <v>0</v>
      </c>
      <c r="H652" s="15">
        <v>0</v>
      </c>
      <c r="I652" s="11">
        <v>2</v>
      </c>
      <c r="J652" s="16">
        <v>2.2222222222222222E-3</v>
      </c>
      <c r="K652" s="11"/>
      <c r="L652" s="11"/>
      <c r="M652" s="11" t="s">
        <v>47</v>
      </c>
      <c r="N652" s="11" t="s">
        <v>21</v>
      </c>
      <c r="O652" s="11" t="s">
        <v>57</v>
      </c>
    </row>
    <row r="653" spans="2:15" ht="21" customHeight="1" x14ac:dyDescent="0.3">
      <c r="B653" s="4" t="s">
        <v>74</v>
      </c>
      <c r="C653" s="5">
        <v>16</v>
      </c>
      <c r="D653" s="6" t="s">
        <v>62</v>
      </c>
      <c r="E653" s="4" t="s">
        <v>30</v>
      </c>
      <c r="F653" s="4" t="s">
        <v>17</v>
      </c>
      <c r="G653" s="7">
        <v>0</v>
      </c>
      <c r="H653" s="1">
        <v>0</v>
      </c>
      <c r="I653" s="4">
        <v>5</v>
      </c>
      <c r="J653" s="8">
        <v>2.2222222222222222E-3</v>
      </c>
      <c r="K653" s="4"/>
      <c r="L653" s="4"/>
      <c r="M653" s="4" t="s">
        <v>44</v>
      </c>
      <c r="N653" s="4" t="s">
        <v>21</v>
      </c>
      <c r="O653" s="4" t="s">
        <v>57</v>
      </c>
    </row>
    <row r="654" spans="2:15" ht="21" customHeight="1" x14ac:dyDescent="0.3">
      <c r="B654" s="11" t="s">
        <v>74</v>
      </c>
      <c r="C654" s="12">
        <v>25</v>
      </c>
      <c r="D654" s="13" t="s">
        <v>29</v>
      </c>
      <c r="E654" s="11" t="s">
        <v>30</v>
      </c>
      <c r="F654" s="11" t="s">
        <v>46</v>
      </c>
      <c r="G654" s="14">
        <v>0</v>
      </c>
      <c r="H654" s="15">
        <v>0</v>
      </c>
      <c r="I654" s="11">
        <v>1</v>
      </c>
      <c r="J654" s="16">
        <v>2.2222222222222222E-3</v>
      </c>
      <c r="K654" s="11"/>
      <c r="L654" s="11"/>
      <c r="M654" s="11" t="s">
        <v>32</v>
      </c>
      <c r="N654" s="11" t="s">
        <v>21</v>
      </c>
      <c r="O654" s="11" t="s">
        <v>67</v>
      </c>
    </row>
    <row r="655" spans="2:15" ht="21" customHeight="1" x14ac:dyDescent="0.3">
      <c r="B655" s="4" t="s">
        <v>74</v>
      </c>
      <c r="C655" s="5">
        <v>7</v>
      </c>
      <c r="D655" s="6" t="s">
        <v>73</v>
      </c>
      <c r="E655" s="4" t="s">
        <v>16</v>
      </c>
      <c r="F655" s="4" t="s">
        <v>17</v>
      </c>
      <c r="G655" s="7">
        <v>0</v>
      </c>
      <c r="H655" s="1">
        <v>0</v>
      </c>
      <c r="I655" s="4">
        <v>1</v>
      </c>
      <c r="J655" s="8">
        <v>2.2222222222222222E-3</v>
      </c>
      <c r="K655" s="4"/>
      <c r="L655" s="4"/>
      <c r="M655" s="4" t="s">
        <v>35</v>
      </c>
      <c r="N655" s="4" t="s">
        <v>21</v>
      </c>
      <c r="O655" s="4" t="s">
        <v>45</v>
      </c>
    </row>
    <row r="656" spans="2:15" ht="21" customHeight="1" x14ac:dyDescent="0.3">
      <c r="B656" s="11" t="s">
        <v>74</v>
      </c>
      <c r="C656" s="12">
        <v>23</v>
      </c>
      <c r="D656" s="13" t="s">
        <v>73</v>
      </c>
      <c r="E656" s="11" t="s">
        <v>34</v>
      </c>
      <c r="F656" s="11" t="s">
        <v>46</v>
      </c>
      <c r="G656" s="14">
        <v>0</v>
      </c>
      <c r="H656" s="15">
        <v>0</v>
      </c>
      <c r="I656" s="11">
        <v>5</v>
      </c>
      <c r="J656" s="16">
        <v>2.2222222222222222E-3</v>
      </c>
      <c r="K656" s="11"/>
      <c r="L656" s="11"/>
      <c r="M656" s="11" t="s">
        <v>26</v>
      </c>
      <c r="N656" s="11" t="s">
        <v>27</v>
      </c>
      <c r="O656" s="11" t="s">
        <v>33</v>
      </c>
    </row>
    <row r="657" spans="2:15" ht="21" customHeight="1" x14ac:dyDescent="0.3">
      <c r="B657" s="4" t="s">
        <v>74</v>
      </c>
      <c r="C657" s="5">
        <v>21</v>
      </c>
      <c r="D657" s="6" t="s">
        <v>61</v>
      </c>
      <c r="E657" s="4" t="s">
        <v>77</v>
      </c>
      <c r="F657" s="4" t="s">
        <v>46</v>
      </c>
      <c r="G657" s="7">
        <v>0</v>
      </c>
      <c r="H657" s="1">
        <v>0</v>
      </c>
      <c r="I657" s="4">
        <v>2</v>
      </c>
      <c r="J657" s="8">
        <v>2.2222222222222222E-3</v>
      </c>
      <c r="K657" s="4"/>
      <c r="L657" s="4"/>
      <c r="M657" s="4" t="s">
        <v>47</v>
      </c>
      <c r="N657" s="4" t="s">
        <v>21</v>
      </c>
      <c r="O657" s="4" t="s">
        <v>57</v>
      </c>
    </row>
    <row r="658" spans="2:15" ht="21" customHeight="1" x14ac:dyDescent="0.3">
      <c r="B658" s="11" t="s">
        <v>74</v>
      </c>
      <c r="C658" s="12">
        <v>16</v>
      </c>
      <c r="D658" s="13" t="s">
        <v>62</v>
      </c>
      <c r="E658" s="11" t="s">
        <v>30</v>
      </c>
      <c r="F658" s="11" t="s">
        <v>17</v>
      </c>
      <c r="G658" s="14">
        <v>0</v>
      </c>
      <c r="H658" s="15">
        <v>0</v>
      </c>
      <c r="I658" s="11">
        <v>5</v>
      </c>
      <c r="J658" s="16">
        <v>2.2222222222222222E-3</v>
      </c>
      <c r="K658" s="11"/>
      <c r="L658" s="11"/>
      <c r="M658" s="11" t="s">
        <v>44</v>
      </c>
      <c r="N658" s="11" t="s">
        <v>21</v>
      </c>
      <c r="O658" s="11" t="s">
        <v>57</v>
      </c>
    </row>
    <row r="659" spans="2:15" ht="21" customHeight="1" x14ac:dyDescent="0.3">
      <c r="B659" s="4" t="s">
        <v>14</v>
      </c>
      <c r="C659" s="5">
        <v>30</v>
      </c>
      <c r="D659" s="6" t="s">
        <v>23</v>
      </c>
      <c r="E659" s="4" t="s">
        <v>30</v>
      </c>
      <c r="F659" s="4" t="s">
        <v>24</v>
      </c>
      <c r="G659" s="7">
        <v>5</v>
      </c>
      <c r="H659" s="1">
        <v>25000000</v>
      </c>
      <c r="I659" s="4">
        <v>1</v>
      </c>
      <c r="J659" s="8">
        <v>2.2453703703703702E-3</v>
      </c>
      <c r="K659" s="4" t="s">
        <v>18</v>
      </c>
      <c r="L659" s="4" t="s">
        <v>68</v>
      </c>
      <c r="M659" s="4" t="s">
        <v>26</v>
      </c>
      <c r="N659" s="4" t="s">
        <v>27</v>
      </c>
      <c r="O659" s="4" t="s">
        <v>28</v>
      </c>
    </row>
    <row r="660" spans="2:15" ht="21" customHeight="1" x14ac:dyDescent="0.3">
      <c r="B660" s="11" t="s">
        <v>14</v>
      </c>
      <c r="C660" s="12">
        <v>25</v>
      </c>
      <c r="D660" s="13" t="s">
        <v>29</v>
      </c>
      <c r="E660" s="11" t="s">
        <v>16</v>
      </c>
      <c r="F660" s="11" t="s">
        <v>24</v>
      </c>
      <c r="G660" s="14">
        <v>4</v>
      </c>
      <c r="H660" s="15">
        <v>20000000</v>
      </c>
      <c r="I660" s="11">
        <v>2</v>
      </c>
      <c r="J660" s="16">
        <v>2.2453703703703702E-3</v>
      </c>
      <c r="K660" s="11" t="s">
        <v>65</v>
      </c>
      <c r="L660" s="11" t="s">
        <v>19</v>
      </c>
      <c r="M660" s="11" t="s">
        <v>55</v>
      </c>
      <c r="N660" s="11" t="s">
        <v>21</v>
      </c>
      <c r="O660" s="11" t="s">
        <v>67</v>
      </c>
    </row>
    <row r="661" spans="2:15" ht="21" customHeight="1" x14ac:dyDescent="0.3">
      <c r="B661" s="4" t="s">
        <v>14</v>
      </c>
      <c r="C661" s="5">
        <v>9</v>
      </c>
      <c r="D661" s="6" t="s">
        <v>29</v>
      </c>
      <c r="E661" s="4" t="s">
        <v>30</v>
      </c>
      <c r="F661" s="4" t="s">
        <v>24</v>
      </c>
      <c r="G661" s="7">
        <v>1</v>
      </c>
      <c r="H661" s="1">
        <v>7000000</v>
      </c>
      <c r="I661" s="4">
        <v>2</v>
      </c>
      <c r="J661" s="8">
        <v>2.2453703703703702E-3</v>
      </c>
      <c r="K661" s="4" t="s">
        <v>18</v>
      </c>
      <c r="L661" s="4" t="s">
        <v>31</v>
      </c>
      <c r="M661" s="4" t="s">
        <v>47</v>
      </c>
      <c r="N661" s="4" t="s">
        <v>27</v>
      </c>
      <c r="O661" s="4" t="s">
        <v>28</v>
      </c>
    </row>
    <row r="662" spans="2:15" ht="21" customHeight="1" x14ac:dyDescent="0.3">
      <c r="B662" s="11" t="s">
        <v>14</v>
      </c>
      <c r="C662" s="12">
        <v>29</v>
      </c>
      <c r="D662" s="13" t="s">
        <v>41</v>
      </c>
      <c r="E662" s="11" t="s">
        <v>53</v>
      </c>
      <c r="F662" s="11" t="s">
        <v>46</v>
      </c>
      <c r="G662" s="14">
        <v>2</v>
      </c>
      <c r="H662" s="15">
        <v>12000000</v>
      </c>
      <c r="I662" s="11">
        <v>1</v>
      </c>
      <c r="J662" s="16">
        <v>2.2453703703703702E-3</v>
      </c>
      <c r="K662" s="11" t="s">
        <v>18</v>
      </c>
      <c r="L662" s="11" t="s">
        <v>60</v>
      </c>
      <c r="M662" s="11" t="s">
        <v>32</v>
      </c>
      <c r="N662" s="11" t="s">
        <v>36</v>
      </c>
      <c r="O662" s="11" t="s">
        <v>37</v>
      </c>
    </row>
    <row r="663" spans="2:15" ht="21" customHeight="1" x14ac:dyDescent="0.3">
      <c r="B663" s="4" t="s">
        <v>14</v>
      </c>
      <c r="C663" s="5">
        <v>13</v>
      </c>
      <c r="D663" s="6" t="s">
        <v>41</v>
      </c>
      <c r="E663" s="4" t="s">
        <v>30</v>
      </c>
      <c r="F663" s="4" t="s">
        <v>24</v>
      </c>
      <c r="G663" s="7">
        <v>2</v>
      </c>
      <c r="H663" s="1">
        <v>12000000</v>
      </c>
      <c r="I663" s="4">
        <v>2</v>
      </c>
      <c r="J663" s="8">
        <v>2.2453703703703702E-3</v>
      </c>
      <c r="K663" s="4" t="s">
        <v>18</v>
      </c>
      <c r="L663" s="4" t="s">
        <v>19</v>
      </c>
      <c r="M663" s="4" t="s">
        <v>35</v>
      </c>
      <c r="N663" s="4" t="s">
        <v>39</v>
      </c>
      <c r="O663" s="4" t="s">
        <v>40</v>
      </c>
    </row>
    <row r="664" spans="2:15" ht="21" customHeight="1" x14ac:dyDescent="0.3">
      <c r="B664" s="11" t="s">
        <v>14</v>
      </c>
      <c r="C664" s="12">
        <v>29</v>
      </c>
      <c r="D664" s="13" t="s">
        <v>41</v>
      </c>
      <c r="E664" s="11" t="s">
        <v>34</v>
      </c>
      <c r="F664" s="11" t="s">
        <v>72</v>
      </c>
      <c r="G664" s="14">
        <v>2</v>
      </c>
      <c r="H664" s="15">
        <v>12000000</v>
      </c>
      <c r="I664" s="11">
        <v>1</v>
      </c>
      <c r="J664" s="16">
        <v>2.2453703703703702E-3</v>
      </c>
      <c r="K664" s="11" t="s">
        <v>18</v>
      </c>
      <c r="L664" s="11" t="s">
        <v>51</v>
      </c>
      <c r="M664" s="11" t="s">
        <v>52</v>
      </c>
      <c r="N664" s="11" t="s">
        <v>36</v>
      </c>
      <c r="O664" s="11" t="s">
        <v>58</v>
      </c>
    </row>
    <row r="665" spans="2:15" ht="21" customHeight="1" x14ac:dyDescent="0.3">
      <c r="B665" s="4" t="s">
        <v>14</v>
      </c>
      <c r="C665" s="5">
        <v>1</v>
      </c>
      <c r="D665" s="6" t="s">
        <v>48</v>
      </c>
      <c r="E665" s="4" t="s">
        <v>30</v>
      </c>
      <c r="F665" s="4" t="s">
        <v>24</v>
      </c>
      <c r="G665" s="7">
        <v>2</v>
      </c>
      <c r="H665" s="1">
        <v>38000000</v>
      </c>
      <c r="I665" s="4">
        <v>4</v>
      </c>
      <c r="J665" s="8">
        <v>2.2453703703703702E-3</v>
      </c>
      <c r="K665" s="4" t="s">
        <v>50</v>
      </c>
      <c r="L665" s="4" t="s">
        <v>19</v>
      </c>
      <c r="M665" s="4" t="s">
        <v>32</v>
      </c>
      <c r="N665" s="4" t="s">
        <v>21</v>
      </c>
      <c r="O665" s="4" t="s">
        <v>45</v>
      </c>
    </row>
    <row r="666" spans="2:15" ht="21" customHeight="1" x14ac:dyDescent="0.3">
      <c r="B666" s="11" t="s">
        <v>14</v>
      </c>
      <c r="C666" s="12">
        <v>22</v>
      </c>
      <c r="D666" s="13" t="s">
        <v>48</v>
      </c>
      <c r="E666" s="11" t="s">
        <v>16</v>
      </c>
      <c r="F666" s="11" t="s">
        <v>49</v>
      </c>
      <c r="G666" s="14">
        <v>4</v>
      </c>
      <c r="H666" s="15">
        <v>20000000</v>
      </c>
      <c r="I666" s="11">
        <v>5</v>
      </c>
      <c r="J666" s="16">
        <v>2.2453703703703702E-3</v>
      </c>
      <c r="K666" s="11" t="s">
        <v>18</v>
      </c>
      <c r="L666" s="11" t="s">
        <v>43</v>
      </c>
      <c r="M666" s="11" t="s">
        <v>47</v>
      </c>
      <c r="N666" s="11" t="s">
        <v>21</v>
      </c>
      <c r="O666" s="11" t="s">
        <v>57</v>
      </c>
    </row>
    <row r="667" spans="2:15" ht="21" customHeight="1" x14ac:dyDescent="0.3">
      <c r="B667" s="4" t="s">
        <v>14</v>
      </c>
      <c r="C667" s="5">
        <v>1</v>
      </c>
      <c r="D667" s="6" t="s">
        <v>73</v>
      </c>
      <c r="E667" s="4" t="s">
        <v>16</v>
      </c>
      <c r="F667" s="4" t="s">
        <v>24</v>
      </c>
      <c r="G667" s="7">
        <v>5</v>
      </c>
      <c r="H667" s="1">
        <v>21000000</v>
      </c>
      <c r="I667" s="4">
        <v>2</v>
      </c>
      <c r="J667" s="8">
        <v>2.2453703703703702E-3</v>
      </c>
      <c r="K667" s="4" t="s">
        <v>18</v>
      </c>
      <c r="L667" s="4" t="s">
        <v>51</v>
      </c>
      <c r="M667" s="4" t="s">
        <v>44</v>
      </c>
      <c r="N667" s="4" t="s">
        <v>21</v>
      </c>
      <c r="O667" s="4" t="s">
        <v>70</v>
      </c>
    </row>
    <row r="668" spans="2:15" ht="21" customHeight="1" x14ac:dyDescent="0.3">
      <c r="B668" s="11" t="s">
        <v>14</v>
      </c>
      <c r="C668" s="12">
        <v>15</v>
      </c>
      <c r="D668" s="13" t="s">
        <v>73</v>
      </c>
      <c r="E668" s="11" t="s">
        <v>30</v>
      </c>
      <c r="F668" s="11" t="s">
        <v>46</v>
      </c>
      <c r="G668" s="14">
        <v>3</v>
      </c>
      <c r="H668" s="15">
        <v>15000000</v>
      </c>
      <c r="I668" s="11">
        <v>2</v>
      </c>
      <c r="J668" s="16">
        <v>2.2453703703703702E-3</v>
      </c>
      <c r="K668" s="11" t="s">
        <v>18</v>
      </c>
      <c r="L668" s="11" t="s">
        <v>31</v>
      </c>
      <c r="M668" s="11" t="s">
        <v>20</v>
      </c>
      <c r="N668" s="11" t="s">
        <v>21</v>
      </c>
      <c r="O668" s="11" t="s">
        <v>66</v>
      </c>
    </row>
    <row r="669" spans="2:15" ht="21" customHeight="1" x14ac:dyDescent="0.3">
      <c r="B669" s="4" t="s">
        <v>74</v>
      </c>
      <c r="C669" s="5">
        <v>20</v>
      </c>
      <c r="D669" s="6" t="s">
        <v>62</v>
      </c>
      <c r="E669" s="4" t="s">
        <v>16</v>
      </c>
      <c r="F669" s="4" t="s">
        <v>24</v>
      </c>
      <c r="G669" s="7">
        <v>0</v>
      </c>
      <c r="H669" s="1">
        <v>0</v>
      </c>
      <c r="I669" s="4">
        <v>2</v>
      </c>
      <c r="J669" s="8">
        <v>2.2453703703703702E-3</v>
      </c>
      <c r="K669" s="4"/>
      <c r="L669" s="4"/>
      <c r="M669" s="4" t="s">
        <v>55</v>
      </c>
      <c r="N669" s="4" t="s">
        <v>39</v>
      </c>
      <c r="O669" s="4" t="s">
        <v>40</v>
      </c>
    </row>
    <row r="670" spans="2:15" ht="21" customHeight="1" x14ac:dyDescent="0.3">
      <c r="B670" s="11" t="s">
        <v>74</v>
      </c>
      <c r="C670" s="12">
        <v>10</v>
      </c>
      <c r="D670" s="13" t="s">
        <v>73</v>
      </c>
      <c r="E670" s="11" t="s">
        <v>30</v>
      </c>
      <c r="F670" s="11" t="s">
        <v>46</v>
      </c>
      <c r="G670" s="14">
        <v>0</v>
      </c>
      <c r="H670" s="15">
        <v>0</v>
      </c>
      <c r="I670" s="11">
        <v>4</v>
      </c>
      <c r="J670" s="16">
        <v>2.2453703703703702E-3</v>
      </c>
      <c r="K670" s="11"/>
      <c r="L670" s="11"/>
      <c r="M670" s="11" t="s">
        <v>47</v>
      </c>
      <c r="N670" s="11" t="s">
        <v>21</v>
      </c>
      <c r="O670" s="11" t="s">
        <v>70</v>
      </c>
    </row>
    <row r="671" spans="2:15" ht="21" customHeight="1" x14ac:dyDescent="0.3">
      <c r="B671" s="4" t="s">
        <v>74</v>
      </c>
      <c r="C671" s="5">
        <v>20</v>
      </c>
      <c r="D671" s="6" t="s">
        <v>73</v>
      </c>
      <c r="E671" s="4" t="s">
        <v>16</v>
      </c>
      <c r="F671" s="4" t="s">
        <v>24</v>
      </c>
      <c r="G671" s="7">
        <v>0</v>
      </c>
      <c r="H671" s="1">
        <v>0</v>
      </c>
      <c r="I671" s="4">
        <v>1</v>
      </c>
      <c r="J671" s="8">
        <v>2.2453703703703702E-3</v>
      </c>
      <c r="K671" s="4"/>
      <c r="L671" s="4"/>
      <c r="M671" s="4" t="s">
        <v>35</v>
      </c>
      <c r="N671" s="4" t="s">
        <v>27</v>
      </c>
      <c r="O671" s="4" t="s">
        <v>75</v>
      </c>
    </row>
    <row r="672" spans="2:15" ht="21" customHeight="1" x14ac:dyDescent="0.3">
      <c r="B672" s="11" t="s">
        <v>74</v>
      </c>
      <c r="C672" s="12">
        <v>20</v>
      </c>
      <c r="D672" s="13" t="s">
        <v>62</v>
      </c>
      <c r="E672" s="11" t="s">
        <v>16</v>
      </c>
      <c r="F672" s="11" t="s">
        <v>24</v>
      </c>
      <c r="G672" s="14">
        <v>0</v>
      </c>
      <c r="H672" s="15">
        <v>0</v>
      </c>
      <c r="I672" s="11">
        <v>2</v>
      </c>
      <c r="J672" s="16">
        <v>2.2453703703703702E-3</v>
      </c>
      <c r="K672" s="11"/>
      <c r="L672" s="11"/>
      <c r="M672" s="11" t="s">
        <v>55</v>
      </c>
      <c r="N672" s="11" t="s">
        <v>39</v>
      </c>
      <c r="O672" s="11" t="s">
        <v>40</v>
      </c>
    </row>
    <row r="673" spans="2:15" ht="21" customHeight="1" x14ac:dyDescent="0.3">
      <c r="B673" s="4" t="s">
        <v>14</v>
      </c>
      <c r="C673" s="5">
        <v>12</v>
      </c>
      <c r="D673" s="6" t="s">
        <v>59</v>
      </c>
      <c r="E673" s="4" t="s">
        <v>16</v>
      </c>
      <c r="F673" s="4" t="s">
        <v>24</v>
      </c>
      <c r="G673" s="7">
        <v>5</v>
      </c>
      <c r="H673" s="1">
        <v>25000000</v>
      </c>
      <c r="I673" s="4">
        <v>1</v>
      </c>
      <c r="J673" s="8">
        <v>2.2685185185185182E-3</v>
      </c>
      <c r="K673" s="4" t="s">
        <v>18</v>
      </c>
      <c r="L673" s="4" t="s">
        <v>25</v>
      </c>
      <c r="M673" s="4" t="s">
        <v>32</v>
      </c>
      <c r="N673" s="4" t="s">
        <v>27</v>
      </c>
      <c r="O673" s="4" t="s">
        <v>56</v>
      </c>
    </row>
    <row r="674" spans="2:15" ht="21" customHeight="1" x14ac:dyDescent="0.3">
      <c r="B674" s="11" t="s">
        <v>14</v>
      </c>
      <c r="C674" s="12">
        <v>1</v>
      </c>
      <c r="D674" s="13" t="s">
        <v>64</v>
      </c>
      <c r="E674" s="11" t="s">
        <v>16</v>
      </c>
      <c r="F674" s="11" t="s">
        <v>24</v>
      </c>
      <c r="G674" s="14">
        <v>4</v>
      </c>
      <c r="H674" s="15">
        <v>20000000</v>
      </c>
      <c r="I674" s="11">
        <v>4</v>
      </c>
      <c r="J674" s="16">
        <v>2.2685185185185182E-3</v>
      </c>
      <c r="K674" s="11" t="s">
        <v>65</v>
      </c>
      <c r="L674" s="11" t="s">
        <v>43</v>
      </c>
      <c r="M674" s="11" t="s">
        <v>35</v>
      </c>
      <c r="N674" s="11" t="s">
        <v>39</v>
      </c>
      <c r="O674" s="11" t="s">
        <v>71</v>
      </c>
    </row>
    <row r="675" spans="2:15" ht="21" customHeight="1" x14ac:dyDescent="0.3">
      <c r="B675" s="4" t="s">
        <v>14</v>
      </c>
      <c r="C675" s="5">
        <v>28</v>
      </c>
      <c r="D675" s="6" t="s">
        <v>64</v>
      </c>
      <c r="E675" s="4" t="s">
        <v>53</v>
      </c>
      <c r="F675" s="4" t="s">
        <v>17</v>
      </c>
      <c r="G675" s="7">
        <v>4</v>
      </c>
      <c r="H675" s="1">
        <v>15000000</v>
      </c>
      <c r="I675" s="4">
        <v>2</v>
      </c>
      <c r="J675" s="8">
        <v>2.2685185185185182E-3</v>
      </c>
      <c r="K675" s="4" t="s">
        <v>18</v>
      </c>
      <c r="L675" s="4" t="s">
        <v>31</v>
      </c>
      <c r="M675" s="4" t="s">
        <v>52</v>
      </c>
      <c r="N675" s="4" t="s">
        <v>39</v>
      </c>
      <c r="O675" s="4" t="s">
        <v>71</v>
      </c>
    </row>
    <row r="676" spans="2:15" ht="21" customHeight="1" x14ac:dyDescent="0.3">
      <c r="B676" s="11" t="s">
        <v>14</v>
      </c>
      <c r="C676" s="12">
        <v>3</v>
      </c>
      <c r="D676" s="13" t="s">
        <v>29</v>
      </c>
      <c r="E676" s="11" t="s">
        <v>16</v>
      </c>
      <c r="F676" s="11" t="s">
        <v>17</v>
      </c>
      <c r="G676" s="14">
        <v>3</v>
      </c>
      <c r="H676" s="15">
        <v>12000000</v>
      </c>
      <c r="I676" s="11">
        <v>1</v>
      </c>
      <c r="J676" s="16">
        <v>2.2685185185185182E-3</v>
      </c>
      <c r="K676" s="11" t="s">
        <v>18</v>
      </c>
      <c r="L676" s="11" t="s">
        <v>31</v>
      </c>
      <c r="M676" s="11" t="s">
        <v>32</v>
      </c>
      <c r="N676" s="11" t="s">
        <v>27</v>
      </c>
      <c r="O676" s="11" t="s">
        <v>28</v>
      </c>
    </row>
    <row r="677" spans="2:15" ht="21" customHeight="1" x14ac:dyDescent="0.3">
      <c r="B677" s="4" t="s">
        <v>14</v>
      </c>
      <c r="C677" s="5">
        <v>28</v>
      </c>
      <c r="D677" s="6" t="s">
        <v>41</v>
      </c>
      <c r="E677" s="4" t="s">
        <v>42</v>
      </c>
      <c r="F677" s="4" t="s">
        <v>49</v>
      </c>
      <c r="G677" s="7">
        <v>2</v>
      </c>
      <c r="H677" s="1">
        <v>38000000</v>
      </c>
      <c r="I677" s="4">
        <v>2</v>
      </c>
      <c r="J677" s="8">
        <v>2.2685185185185182E-3</v>
      </c>
      <c r="K677" s="4" t="s">
        <v>50</v>
      </c>
      <c r="L677" s="4" t="s">
        <v>31</v>
      </c>
      <c r="M677" s="4" t="s">
        <v>26</v>
      </c>
      <c r="N677" s="4" t="s">
        <v>21</v>
      </c>
      <c r="O677" s="4" t="s">
        <v>66</v>
      </c>
    </row>
    <row r="678" spans="2:15" ht="21" customHeight="1" x14ac:dyDescent="0.3">
      <c r="B678" s="11" t="s">
        <v>14</v>
      </c>
      <c r="C678" s="12">
        <v>28</v>
      </c>
      <c r="D678" s="13" t="s">
        <v>41</v>
      </c>
      <c r="E678" s="11" t="s">
        <v>16</v>
      </c>
      <c r="F678" s="11" t="s">
        <v>17</v>
      </c>
      <c r="G678" s="14">
        <v>1</v>
      </c>
      <c r="H678" s="15">
        <v>19000000</v>
      </c>
      <c r="I678" s="11">
        <v>1</v>
      </c>
      <c r="J678" s="16">
        <v>2.2685185185185182E-3</v>
      </c>
      <c r="K678" s="11" t="s">
        <v>50</v>
      </c>
      <c r="L678" s="11" t="s">
        <v>19</v>
      </c>
      <c r="M678" s="11" t="s">
        <v>52</v>
      </c>
      <c r="N678" s="11" t="s">
        <v>21</v>
      </c>
      <c r="O678" s="11" t="s">
        <v>57</v>
      </c>
    </row>
    <row r="679" spans="2:15" ht="21" customHeight="1" x14ac:dyDescent="0.3">
      <c r="B679" s="4" t="s">
        <v>14</v>
      </c>
      <c r="C679" s="5">
        <v>23</v>
      </c>
      <c r="D679" s="6" t="s">
        <v>41</v>
      </c>
      <c r="E679" s="4" t="s">
        <v>53</v>
      </c>
      <c r="F679" s="4" t="s">
        <v>46</v>
      </c>
      <c r="G679" s="7">
        <v>2</v>
      </c>
      <c r="H679" s="1">
        <v>10000000</v>
      </c>
      <c r="I679" s="4">
        <v>2</v>
      </c>
      <c r="J679" s="8">
        <v>2.2685185185185182E-3</v>
      </c>
      <c r="K679" s="4" t="s">
        <v>18</v>
      </c>
      <c r="L679" s="4" t="s">
        <v>19</v>
      </c>
      <c r="M679" s="4" t="s">
        <v>26</v>
      </c>
      <c r="N679" s="4" t="s">
        <v>21</v>
      </c>
      <c r="O679" s="4" t="s">
        <v>57</v>
      </c>
    </row>
    <row r="680" spans="2:15" ht="21" customHeight="1" x14ac:dyDescent="0.3">
      <c r="B680" s="11" t="s">
        <v>14</v>
      </c>
      <c r="C680" s="12">
        <v>26</v>
      </c>
      <c r="D680" s="13" t="s">
        <v>41</v>
      </c>
      <c r="E680" s="11" t="s">
        <v>34</v>
      </c>
      <c r="F680" s="11" t="s">
        <v>24</v>
      </c>
      <c r="G680" s="14">
        <v>1</v>
      </c>
      <c r="H680" s="15">
        <v>7000000</v>
      </c>
      <c r="I680" s="11">
        <v>2</v>
      </c>
      <c r="J680" s="16">
        <v>2.2685185185185182E-3</v>
      </c>
      <c r="K680" s="11" t="s">
        <v>18</v>
      </c>
      <c r="L680" s="11" t="s">
        <v>31</v>
      </c>
      <c r="M680" s="11" t="s">
        <v>35</v>
      </c>
      <c r="N680" s="11" t="s">
        <v>27</v>
      </c>
      <c r="O680" s="11" t="s">
        <v>33</v>
      </c>
    </row>
    <row r="681" spans="2:15" ht="21" customHeight="1" x14ac:dyDescent="0.3">
      <c r="B681" s="4" t="s">
        <v>14</v>
      </c>
      <c r="C681" s="5">
        <v>1</v>
      </c>
      <c r="D681" s="6" t="s">
        <v>41</v>
      </c>
      <c r="E681" s="4" t="s">
        <v>42</v>
      </c>
      <c r="F681" s="4" t="s">
        <v>72</v>
      </c>
      <c r="G681" s="7">
        <v>3</v>
      </c>
      <c r="H681" s="1">
        <v>11000000</v>
      </c>
      <c r="I681" s="4">
        <v>3</v>
      </c>
      <c r="J681" s="8">
        <v>2.2685185185185182E-3</v>
      </c>
      <c r="K681" s="4" t="s">
        <v>18</v>
      </c>
      <c r="L681" s="4" t="s">
        <v>19</v>
      </c>
      <c r="M681" s="4" t="s">
        <v>44</v>
      </c>
      <c r="N681" s="4" t="s">
        <v>36</v>
      </c>
      <c r="O681" s="4" t="s">
        <v>69</v>
      </c>
    </row>
    <row r="682" spans="2:15" ht="21" customHeight="1" x14ac:dyDescent="0.3">
      <c r="B682" s="11" t="s">
        <v>14</v>
      </c>
      <c r="C682" s="12">
        <v>12</v>
      </c>
      <c r="D682" s="13" t="s">
        <v>48</v>
      </c>
      <c r="E682" s="11" t="s">
        <v>53</v>
      </c>
      <c r="F682" s="11" t="s">
        <v>17</v>
      </c>
      <c r="G682" s="14">
        <v>5</v>
      </c>
      <c r="H682" s="15">
        <v>25000000</v>
      </c>
      <c r="I682" s="11">
        <v>4</v>
      </c>
      <c r="J682" s="16">
        <v>2.2685185185185182E-3</v>
      </c>
      <c r="K682" s="11" t="s">
        <v>18</v>
      </c>
      <c r="L682" s="11" t="s">
        <v>25</v>
      </c>
      <c r="M682" s="11" t="s">
        <v>47</v>
      </c>
      <c r="N682" s="11" t="s">
        <v>27</v>
      </c>
      <c r="O682" s="11" t="s">
        <v>33</v>
      </c>
    </row>
    <row r="683" spans="2:15" ht="21" customHeight="1" x14ac:dyDescent="0.3">
      <c r="B683" s="4" t="s">
        <v>14</v>
      </c>
      <c r="C683" s="5">
        <v>12</v>
      </c>
      <c r="D683" s="6" t="s">
        <v>59</v>
      </c>
      <c r="E683" s="4" t="s">
        <v>16</v>
      </c>
      <c r="F683" s="4" t="s">
        <v>24</v>
      </c>
      <c r="G683" s="7">
        <v>5</v>
      </c>
      <c r="H683" s="1">
        <v>25000000</v>
      </c>
      <c r="I683" s="4">
        <v>1</v>
      </c>
      <c r="J683" s="8">
        <v>2.2685185185185182E-3</v>
      </c>
      <c r="K683" s="4" t="s">
        <v>18</v>
      </c>
      <c r="L683" s="4" t="s">
        <v>25</v>
      </c>
      <c r="M683" s="4" t="s">
        <v>32</v>
      </c>
      <c r="N683" s="4" t="s">
        <v>27</v>
      </c>
      <c r="O683" s="4" t="s">
        <v>56</v>
      </c>
    </row>
    <row r="684" spans="2:15" ht="21" customHeight="1" x14ac:dyDescent="0.3">
      <c r="B684" s="11" t="s">
        <v>14</v>
      </c>
      <c r="C684" s="12">
        <v>1</v>
      </c>
      <c r="D684" s="13" t="s">
        <v>64</v>
      </c>
      <c r="E684" s="11" t="s">
        <v>16</v>
      </c>
      <c r="F684" s="11" t="s">
        <v>24</v>
      </c>
      <c r="G684" s="14">
        <v>4</v>
      </c>
      <c r="H684" s="15">
        <v>20000000</v>
      </c>
      <c r="I684" s="11">
        <v>4</v>
      </c>
      <c r="J684" s="16">
        <v>2.2685185185185182E-3</v>
      </c>
      <c r="K684" s="11" t="s">
        <v>65</v>
      </c>
      <c r="L684" s="11" t="s">
        <v>43</v>
      </c>
      <c r="M684" s="11" t="s">
        <v>35</v>
      </c>
      <c r="N684" s="11" t="s">
        <v>39</v>
      </c>
      <c r="O684" s="11" t="s">
        <v>71</v>
      </c>
    </row>
    <row r="685" spans="2:15" ht="21" customHeight="1" x14ac:dyDescent="0.3">
      <c r="B685" s="4" t="s">
        <v>14</v>
      </c>
      <c r="C685" s="5">
        <v>28</v>
      </c>
      <c r="D685" s="6" t="s">
        <v>64</v>
      </c>
      <c r="E685" s="4" t="s">
        <v>53</v>
      </c>
      <c r="F685" s="4" t="s">
        <v>17</v>
      </c>
      <c r="G685" s="7">
        <v>4</v>
      </c>
      <c r="H685" s="1">
        <v>15000000</v>
      </c>
      <c r="I685" s="4">
        <v>2</v>
      </c>
      <c r="J685" s="8">
        <v>2.2685185185185182E-3</v>
      </c>
      <c r="K685" s="4" t="s">
        <v>18</v>
      </c>
      <c r="L685" s="4" t="s">
        <v>31</v>
      </c>
      <c r="M685" s="4" t="s">
        <v>52</v>
      </c>
      <c r="N685" s="4" t="s">
        <v>39</v>
      </c>
      <c r="O685" s="4" t="s">
        <v>71</v>
      </c>
    </row>
    <row r="686" spans="2:15" ht="21" customHeight="1" x14ac:dyDescent="0.3">
      <c r="B686" s="11" t="s">
        <v>74</v>
      </c>
      <c r="C686" s="12">
        <v>9</v>
      </c>
      <c r="D686" s="13" t="s">
        <v>64</v>
      </c>
      <c r="E686" s="11" t="s">
        <v>16</v>
      </c>
      <c r="F686" s="11" t="s">
        <v>17</v>
      </c>
      <c r="G686" s="14">
        <v>0</v>
      </c>
      <c r="H686" s="15">
        <v>0</v>
      </c>
      <c r="I686" s="11">
        <v>3</v>
      </c>
      <c r="J686" s="16">
        <v>2.2685185185185182E-3</v>
      </c>
      <c r="K686" s="11"/>
      <c r="L686" s="11"/>
      <c r="M686" s="11" t="s">
        <v>47</v>
      </c>
      <c r="N686" s="11" t="s">
        <v>21</v>
      </c>
      <c r="O686" s="11" t="s">
        <v>70</v>
      </c>
    </row>
    <row r="687" spans="2:15" ht="21" customHeight="1" x14ac:dyDescent="0.3">
      <c r="B687" s="4" t="s">
        <v>74</v>
      </c>
      <c r="C687" s="5">
        <v>17</v>
      </c>
      <c r="D687" s="6" t="s">
        <v>29</v>
      </c>
      <c r="E687" s="4" t="s">
        <v>30</v>
      </c>
      <c r="F687" s="4" t="s">
        <v>17</v>
      </c>
      <c r="G687" s="7">
        <v>0</v>
      </c>
      <c r="H687" s="1">
        <v>0</v>
      </c>
      <c r="I687" s="4">
        <v>2</v>
      </c>
      <c r="J687" s="8">
        <v>2.2685185185185182E-3</v>
      </c>
      <c r="K687" s="4"/>
      <c r="L687" s="4"/>
      <c r="M687" s="4" t="s">
        <v>55</v>
      </c>
      <c r="N687" s="4" t="s">
        <v>36</v>
      </c>
      <c r="O687" s="4" t="s">
        <v>58</v>
      </c>
    </row>
    <row r="688" spans="2:15" ht="21" customHeight="1" x14ac:dyDescent="0.3">
      <c r="B688" s="11" t="s">
        <v>74</v>
      </c>
      <c r="C688" s="12">
        <v>11</v>
      </c>
      <c r="D688" s="13" t="s">
        <v>48</v>
      </c>
      <c r="E688" s="11" t="s">
        <v>77</v>
      </c>
      <c r="F688" s="11" t="s">
        <v>46</v>
      </c>
      <c r="G688" s="14">
        <v>0</v>
      </c>
      <c r="H688" s="15">
        <v>0</v>
      </c>
      <c r="I688" s="11">
        <v>3</v>
      </c>
      <c r="J688" s="16">
        <v>2.2685185185185182E-3</v>
      </c>
      <c r="K688" s="11"/>
      <c r="L688" s="11"/>
      <c r="M688" s="11" t="s">
        <v>44</v>
      </c>
      <c r="N688" s="11" t="s">
        <v>27</v>
      </c>
      <c r="O688" s="11" t="s">
        <v>28</v>
      </c>
    </row>
    <row r="689" spans="2:15" ht="21" customHeight="1" x14ac:dyDescent="0.3">
      <c r="B689" s="4" t="s">
        <v>74</v>
      </c>
      <c r="C689" s="5">
        <v>9</v>
      </c>
      <c r="D689" s="6" t="s">
        <v>64</v>
      </c>
      <c r="E689" s="4" t="s">
        <v>16</v>
      </c>
      <c r="F689" s="4" t="s">
        <v>17</v>
      </c>
      <c r="G689" s="7">
        <v>0</v>
      </c>
      <c r="H689" s="1">
        <v>0</v>
      </c>
      <c r="I689" s="4">
        <v>3</v>
      </c>
      <c r="J689" s="8">
        <v>2.2685185185185182E-3</v>
      </c>
      <c r="K689" s="4"/>
      <c r="L689" s="4"/>
      <c r="M689" s="4" t="s">
        <v>47</v>
      </c>
      <c r="N689" s="4" t="s">
        <v>21</v>
      </c>
      <c r="O689" s="4" t="s">
        <v>70</v>
      </c>
    </row>
    <row r="690" spans="2:15" ht="21" customHeight="1" x14ac:dyDescent="0.3">
      <c r="B690" s="11" t="s">
        <v>14</v>
      </c>
      <c r="C690" s="12">
        <v>3</v>
      </c>
      <c r="D690" s="13" t="s">
        <v>23</v>
      </c>
      <c r="E690" s="11" t="s">
        <v>34</v>
      </c>
      <c r="F690" s="11" t="s">
        <v>46</v>
      </c>
      <c r="G690" s="14">
        <v>1</v>
      </c>
      <c r="H690" s="15">
        <v>19000000</v>
      </c>
      <c r="I690" s="11">
        <v>2</v>
      </c>
      <c r="J690" s="16">
        <v>2.2800925925925927E-3</v>
      </c>
      <c r="K690" s="11" t="s">
        <v>50</v>
      </c>
      <c r="L690" s="11" t="s">
        <v>38</v>
      </c>
      <c r="M690" s="11" t="s">
        <v>47</v>
      </c>
      <c r="N690" s="11" t="s">
        <v>39</v>
      </c>
      <c r="O690" s="11" t="s">
        <v>40</v>
      </c>
    </row>
    <row r="691" spans="2:15" ht="21" customHeight="1" x14ac:dyDescent="0.3">
      <c r="B691" s="4" t="s">
        <v>14</v>
      </c>
      <c r="C691" s="5">
        <v>30</v>
      </c>
      <c r="D691" s="6" t="s">
        <v>23</v>
      </c>
      <c r="E691" s="4" t="s">
        <v>34</v>
      </c>
      <c r="F691" s="4" t="s">
        <v>24</v>
      </c>
      <c r="G691" s="7">
        <v>2</v>
      </c>
      <c r="H691" s="1">
        <v>12000000</v>
      </c>
      <c r="I691" s="4">
        <v>2</v>
      </c>
      <c r="J691" s="8">
        <v>2.2800925925925927E-3</v>
      </c>
      <c r="K691" s="4" t="s">
        <v>18</v>
      </c>
      <c r="L691" s="4" t="s">
        <v>31</v>
      </c>
      <c r="M691" s="4" t="s">
        <v>32</v>
      </c>
      <c r="N691" s="4" t="s">
        <v>27</v>
      </c>
      <c r="O691" s="4" t="s">
        <v>33</v>
      </c>
    </row>
    <row r="692" spans="2:15" ht="21" customHeight="1" x14ac:dyDescent="0.3">
      <c r="B692" s="11" t="s">
        <v>14</v>
      </c>
      <c r="C692" s="12">
        <v>21</v>
      </c>
      <c r="D692" s="13" t="s">
        <v>29</v>
      </c>
      <c r="E692" s="11" t="s">
        <v>16</v>
      </c>
      <c r="F692" s="11" t="s">
        <v>49</v>
      </c>
      <c r="G692" s="14">
        <v>3</v>
      </c>
      <c r="H692" s="15">
        <v>15000000</v>
      </c>
      <c r="I692" s="11">
        <v>1</v>
      </c>
      <c r="J692" s="16">
        <v>2.2800925925925927E-3</v>
      </c>
      <c r="K692" s="11" t="s">
        <v>18</v>
      </c>
      <c r="L692" s="11" t="s">
        <v>31</v>
      </c>
      <c r="M692" s="11" t="s">
        <v>35</v>
      </c>
      <c r="N692" s="11" t="s">
        <v>36</v>
      </c>
      <c r="O692" s="11" t="s">
        <v>69</v>
      </c>
    </row>
    <row r="693" spans="2:15" ht="21" customHeight="1" x14ac:dyDescent="0.3">
      <c r="B693" s="4" t="s">
        <v>14</v>
      </c>
      <c r="C693" s="5">
        <v>31</v>
      </c>
      <c r="D693" s="6" t="s">
        <v>41</v>
      </c>
      <c r="E693" s="4" t="s">
        <v>42</v>
      </c>
      <c r="F693" s="4" t="s">
        <v>24</v>
      </c>
      <c r="G693" s="7">
        <v>3</v>
      </c>
      <c r="H693" s="1">
        <v>15000000</v>
      </c>
      <c r="I693" s="4">
        <v>2</v>
      </c>
      <c r="J693" s="8">
        <v>2.2800925925925927E-3</v>
      </c>
      <c r="K693" s="4" t="s">
        <v>18</v>
      </c>
      <c r="L693" s="4" t="s">
        <v>19</v>
      </c>
      <c r="M693" s="4" t="s">
        <v>20</v>
      </c>
      <c r="N693" s="4" t="s">
        <v>39</v>
      </c>
      <c r="O693" s="4" t="s">
        <v>71</v>
      </c>
    </row>
    <row r="694" spans="2:15" ht="21" customHeight="1" x14ac:dyDescent="0.3">
      <c r="B694" s="11" t="s">
        <v>14</v>
      </c>
      <c r="C694" s="12">
        <v>27</v>
      </c>
      <c r="D694" s="13" t="s">
        <v>41</v>
      </c>
      <c r="E694" s="11" t="s">
        <v>16</v>
      </c>
      <c r="F694" s="11" t="s">
        <v>24</v>
      </c>
      <c r="G694" s="14">
        <v>2</v>
      </c>
      <c r="H694" s="15">
        <v>12000000</v>
      </c>
      <c r="I694" s="11">
        <v>5</v>
      </c>
      <c r="J694" s="16">
        <v>2.2800925925925927E-3</v>
      </c>
      <c r="K694" s="11" t="s">
        <v>18</v>
      </c>
      <c r="L694" s="11" t="s">
        <v>25</v>
      </c>
      <c r="M694" s="11" t="s">
        <v>52</v>
      </c>
      <c r="N694" s="11" t="s">
        <v>21</v>
      </c>
      <c r="O694" s="11" t="s">
        <v>22</v>
      </c>
    </row>
    <row r="695" spans="2:15" ht="21" customHeight="1" x14ac:dyDescent="0.3">
      <c r="B695" s="4" t="s">
        <v>14</v>
      </c>
      <c r="C695" s="5">
        <v>30</v>
      </c>
      <c r="D695" s="6" t="s">
        <v>48</v>
      </c>
      <c r="E695" s="4" t="s">
        <v>16</v>
      </c>
      <c r="F695" s="4" t="s">
        <v>24</v>
      </c>
      <c r="G695" s="7">
        <v>5</v>
      </c>
      <c r="H695" s="1">
        <v>20000000</v>
      </c>
      <c r="I695" s="4">
        <v>2</v>
      </c>
      <c r="J695" s="8">
        <v>2.2800925925925927E-3</v>
      </c>
      <c r="K695" s="4" t="s">
        <v>18</v>
      </c>
      <c r="L695" s="4" t="s">
        <v>19</v>
      </c>
      <c r="M695" s="4" t="s">
        <v>44</v>
      </c>
      <c r="N695" s="4" t="s">
        <v>39</v>
      </c>
      <c r="O695" s="4" t="s">
        <v>40</v>
      </c>
    </row>
    <row r="696" spans="2:15" ht="21" customHeight="1" x14ac:dyDescent="0.3">
      <c r="B696" s="11" t="s">
        <v>14</v>
      </c>
      <c r="C696" s="12">
        <v>20</v>
      </c>
      <c r="D696" s="13" t="s">
        <v>48</v>
      </c>
      <c r="E696" s="11" t="s">
        <v>16</v>
      </c>
      <c r="F696" s="11" t="s">
        <v>17</v>
      </c>
      <c r="G696" s="14">
        <v>3</v>
      </c>
      <c r="H696" s="15">
        <v>15000000</v>
      </c>
      <c r="I696" s="11">
        <v>5</v>
      </c>
      <c r="J696" s="16">
        <v>2.2800925925925927E-3</v>
      </c>
      <c r="K696" s="11" t="s">
        <v>18</v>
      </c>
      <c r="L696" s="11" t="s">
        <v>31</v>
      </c>
      <c r="M696" s="11" t="s">
        <v>47</v>
      </c>
      <c r="N696" s="11" t="s">
        <v>21</v>
      </c>
      <c r="O696" s="11" t="s">
        <v>67</v>
      </c>
    </row>
    <row r="697" spans="2:15" ht="21" customHeight="1" x14ac:dyDescent="0.3">
      <c r="B697" s="4" t="s">
        <v>14</v>
      </c>
      <c r="C697" s="5">
        <v>4</v>
      </c>
      <c r="D697" s="6" t="s">
        <v>48</v>
      </c>
      <c r="E697" s="4" t="s">
        <v>42</v>
      </c>
      <c r="F697" s="4" t="s">
        <v>24</v>
      </c>
      <c r="G697" s="7">
        <v>1</v>
      </c>
      <c r="H697" s="1">
        <v>7000000</v>
      </c>
      <c r="I697" s="4">
        <v>2</v>
      </c>
      <c r="J697" s="8">
        <v>2.2800925925925927E-3</v>
      </c>
      <c r="K697" s="4" t="s">
        <v>18</v>
      </c>
      <c r="L697" s="4" t="s">
        <v>43</v>
      </c>
      <c r="M697" s="4" t="s">
        <v>26</v>
      </c>
      <c r="N697" s="4" t="s">
        <v>27</v>
      </c>
      <c r="O697" s="4" t="s">
        <v>28</v>
      </c>
    </row>
    <row r="698" spans="2:15" ht="21" customHeight="1" x14ac:dyDescent="0.3">
      <c r="B698" s="11" t="s">
        <v>14</v>
      </c>
      <c r="C698" s="12">
        <v>3</v>
      </c>
      <c r="D698" s="13" t="s">
        <v>23</v>
      </c>
      <c r="E698" s="11" t="s">
        <v>34</v>
      </c>
      <c r="F698" s="11" t="s">
        <v>46</v>
      </c>
      <c r="G698" s="14">
        <v>1</v>
      </c>
      <c r="H698" s="15">
        <v>19000000</v>
      </c>
      <c r="I698" s="11">
        <v>2</v>
      </c>
      <c r="J698" s="16">
        <v>2.2800925925925927E-3</v>
      </c>
      <c r="K698" s="11" t="s">
        <v>50</v>
      </c>
      <c r="L698" s="11" t="s">
        <v>38</v>
      </c>
      <c r="M698" s="11" t="s">
        <v>47</v>
      </c>
      <c r="N698" s="11" t="s">
        <v>39</v>
      </c>
      <c r="O698" s="11" t="s">
        <v>40</v>
      </c>
    </row>
    <row r="699" spans="2:15" ht="21" customHeight="1" x14ac:dyDescent="0.3">
      <c r="B699" s="4" t="s">
        <v>14</v>
      </c>
      <c r="C699" s="5">
        <v>30</v>
      </c>
      <c r="D699" s="6" t="s">
        <v>23</v>
      </c>
      <c r="E699" s="4" t="s">
        <v>34</v>
      </c>
      <c r="F699" s="4" t="s">
        <v>24</v>
      </c>
      <c r="G699" s="7">
        <v>2</v>
      </c>
      <c r="H699" s="1">
        <v>12000000</v>
      </c>
      <c r="I699" s="4">
        <v>2</v>
      </c>
      <c r="J699" s="8">
        <v>2.2800925925925927E-3</v>
      </c>
      <c r="K699" s="4" t="s">
        <v>18</v>
      </c>
      <c r="L699" s="4" t="s">
        <v>31</v>
      </c>
      <c r="M699" s="4" t="s">
        <v>32</v>
      </c>
      <c r="N699" s="4" t="s">
        <v>27</v>
      </c>
      <c r="O699" s="4" t="s">
        <v>33</v>
      </c>
    </row>
    <row r="700" spans="2:15" ht="21" customHeight="1" x14ac:dyDescent="0.3">
      <c r="B700" s="11" t="s">
        <v>74</v>
      </c>
      <c r="C700" s="12">
        <v>14</v>
      </c>
      <c r="D700" s="13" t="s">
        <v>41</v>
      </c>
      <c r="E700" s="11" t="s">
        <v>53</v>
      </c>
      <c r="F700" s="11" t="s">
        <v>46</v>
      </c>
      <c r="G700" s="14">
        <v>0</v>
      </c>
      <c r="H700" s="15">
        <v>0</v>
      </c>
      <c r="I700" s="11">
        <v>4</v>
      </c>
      <c r="J700" s="16">
        <v>2.2800925925925927E-3</v>
      </c>
      <c r="K700" s="11"/>
      <c r="L700" s="11"/>
      <c r="M700" s="11" t="s">
        <v>26</v>
      </c>
      <c r="N700" s="11" t="s">
        <v>21</v>
      </c>
      <c r="O700" s="11" t="s">
        <v>57</v>
      </c>
    </row>
    <row r="701" spans="2:15" ht="21" customHeight="1" x14ac:dyDescent="0.3">
      <c r="B701" s="4" t="s">
        <v>74</v>
      </c>
      <c r="C701" s="5">
        <v>5</v>
      </c>
      <c r="D701" s="6" t="s">
        <v>41</v>
      </c>
      <c r="E701" s="4" t="s">
        <v>30</v>
      </c>
      <c r="F701" s="4" t="s">
        <v>24</v>
      </c>
      <c r="G701" s="7">
        <v>0</v>
      </c>
      <c r="H701" s="1">
        <v>0</v>
      </c>
      <c r="I701" s="4">
        <v>1</v>
      </c>
      <c r="J701" s="8">
        <v>2.2800925925925927E-3</v>
      </c>
      <c r="K701" s="4"/>
      <c r="L701" s="4"/>
      <c r="M701" s="4" t="s">
        <v>55</v>
      </c>
      <c r="N701" s="4" t="s">
        <v>27</v>
      </c>
      <c r="O701" s="4" t="s">
        <v>75</v>
      </c>
    </row>
    <row r="702" spans="2:15" ht="21" customHeight="1" x14ac:dyDescent="0.3">
      <c r="B702" s="11" t="s">
        <v>74</v>
      </c>
      <c r="C702" s="12">
        <v>2</v>
      </c>
      <c r="D702" s="13" t="s">
        <v>73</v>
      </c>
      <c r="E702" s="11" t="s">
        <v>53</v>
      </c>
      <c r="F702" s="11" t="s">
        <v>46</v>
      </c>
      <c r="G702" s="14">
        <v>0</v>
      </c>
      <c r="H702" s="15">
        <v>0</v>
      </c>
      <c r="I702" s="11">
        <v>3</v>
      </c>
      <c r="J702" s="16">
        <v>2.2800925925925927E-3</v>
      </c>
      <c r="K702" s="11"/>
      <c r="L702" s="11"/>
      <c r="M702" s="11" t="s">
        <v>32</v>
      </c>
      <c r="N702" s="11" t="s">
        <v>21</v>
      </c>
      <c r="O702" s="11" t="s">
        <v>57</v>
      </c>
    </row>
    <row r="703" spans="2:15" ht="21" customHeight="1" x14ac:dyDescent="0.3">
      <c r="B703" s="4" t="s">
        <v>74</v>
      </c>
      <c r="C703" s="5">
        <v>30</v>
      </c>
      <c r="D703" s="6" t="s">
        <v>73</v>
      </c>
      <c r="E703" s="4" t="s">
        <v>42</v>
      </c>
      <c r="F703" s="4" t="s">
        <v>24</v>
      </c>
      <c r="G703" s="7">
        <v>0</v>
      </c>
      <c r="H703" s="1">
        <v>0</v>
      </c>
      <c r="I703" s="4">
        <v>2</v>
      </c>
      <c r="J703" s="8">
        <v>2.2800925925925927E-3</v>
      </c>
      <c r="K703" s="4"/>
      <c r="L703" s="4"/>
      <c r="M703" s="4" t="s">
        <v>32</v>
      </c>
      <c r="N703" s="4" t="s">
        <v>36</v>
      </c>
      <c r="O703" s="4" t="s">
        <v>58</v>
      </c>
    </row>
    <row r="704" spans="2:15" ht="21" customHeight="1" x14ac:dyDescent="0.3">
      <c r="B704" s="11" t="s">
        <v>74</v>
      </c>
      <c r="C704" s="12">
        <v>10</v>
      </c>
      <c r="D704" s="13" t="s">
        <v>73</v>
      </c>
      <c r="E704" s="11" t="s">
        <v>30</v>
      </c>
      <c r="F704" s="11" t="s">
        <v>46</v>
      </c>
      <c r="G704" s="14">
        <v>0</v>
      </c>
      <c r="H704" s="15">
        <v>0</v>
      </c>
      <c r="I704" s="11">
        <v>1</v>
      </c>
      <c r="J704" s="16">
        <v>2.2800925925925927E-3</v>
      </c>
      <c r="K704" s="11"/>
      <c r="L704" s="11"/>
      <c r="M704" s="11" t="s">
        <v>35</v>
      </c>
      <c r="N704" s="11" t="s">
        <v>36</v>
      </c>
      <c r="O704" s="11" t="s">
        <v>37</v>
      </c>
    </row>
    <row r="705" spans="2:15" ht="21" customHeight="1" x14ac:dyDescent="0.3">
      <c r="B705" s="4" t="s">
        <v>14</v>
      </c>
      <c r="C705" s="5">
        <v>1</v>
      </c>
      <c r="D705" s="6" t="s">
        <v>59</v>
      </c>
      <c r="E705" s="4" t="s">
        <v>53</v>
      </c>
      <c r="F705" s="4" t="s">
        <v>24</v>
      </c>
      <c r="G705" s="7">
        <v>1</v>
      </c>
      <c r="H705" s="1">
        <v>7000000</v>
      </c>
      <c r="I705" s="4">
        <v>3</v>
      </c>
      <c r="J705" s="8">
        <v>2.4305555555555556E-3</v>
      </c>
      <c r="K705" s="4" t="s">
        <v>18</v>
      </c>
      <c r="L705" s="4" t="s">
        <v>54</v>
      </c>
      <c r="M705" s="4" t="s">
        <v>52</v>
      </c>
      <c r="N705" s="4" t="s">
        <v>21</v>
      </c>
      <c r="O705" s="4" t="s">
        <v>45</v>
      </c>
    </row>
    <row r="706" spans="2:15" ht="21" customHeight="1" x14ac:dyDescent="0.3">
      <c r="B706" s="11" t="s">
        <v>14</v>
      </c>
      <c r="C706" s="12">
        <v>11</v>
      </c>
      <c r="D706" s="13" t="s">
        <v>61</v>
      </c>
      <c r="E706" s="11" t="s">
        <v>42</v>
      </c>
      <c r="F706" s="11" t="s">
        <v>24</v>
      </c>
      <c r="G706" s="14">
        <v>4</v>
      </c>
      <c r="H706" s="15">
        <v>20000000</v>
      </c>
      <c r="I706" s="11">
        <v>2</v>
      </c>
      <c r="J706" s="16">
        <v>2.4305555555555556E-3</v>
      </c>
      <c r="K706" s="11" t="s">
        <v>65</v>
      </c>
      <c r="L706" s="11" t="s">
        <v>31</v>
      </c>
      <c r="M706" s="11" t="s">
        <v>55</v>
      </c>
      <c r="N706" s="11" t="s">
        <v>27</v>
      </c>
      <c r="O706" s="11" t="s">
        <v>75</v>
      </c>
    </row>
    <row r="707" spans="2:15" ht="21" customHeight="1" x14ac:dyDescent="0.3">
      <c r="B707" s="4" t="s">
        <v>14</v>
      </c>
      <c r="C707" s="5">
        <v>25</v>
      </c>
      <c r="D707" s="6" t="s">
        <v>23</v>
      </c>
      <c r="E707" s="4" t="s">
        <v>16</v>
      </c>
      <c r="F707" s="4" t="s">
        <v>17</v>
      </c>
      <c r="G707" s="7">
        <v>3</v>
      </c>
      <c r="H707" s="1">
        <v>15000000</v>
      </c>
      <c r="I707" s="4">
        <v>1</v>
      </c>
      <c r="J707" s="8">
        <v>2.4305555555555556E-3</v>
      </c>
      <c r="K707" s="4" t="s">
        <v>18</v>
      </c>
      <c r="L707" s="4" t="s">
        <v>19</v>
      </c>
      <c r="M707" s="4" t="s">
        <v>26</v>
      </c>
      <c r="N707" s="4" t="s">
        <v>39</v>
      </c>
      <c r="O707" s="4" t="s">
        <v>71</v>
      </c>
    </row>
    <row r="708" spans="2:15" ht="21" customHeight="1" x14ac:dyDescent="0.3">
      <c r="B708" s="11" t="s">
        <v>14</v>
      </c>
      <c r="C708" s="12">
        <v>17</v>
      </c>
      <c r="D708" s="13" t="s">
        <v>29</v>
      </c>
      <c r="E708" s="11" t="s">
        <v>77</v>
      </c>
      <c r="F708" s="11" t="s">
        <v>17</v>
      </c>
      <c r="G708" s="14">
        <v>3</v>
      </c>
      <c r="H708" s="15">
        <v>11000000</v>
      </c>
      <c r="I708" s="11">
        <v>4</v>
      </c>
      <c r="J708" s="16">
        <v>2.4305555555555556E-3</v>
      </c>
      <c r="K708" s="11" t="s">
        <v>18</v>
      </c>
      <c r="L708" s="11" t="s">
        <v>19</v>
      </c>
      <c r="M708" s="11" t="s">
        <v>26</v>
      </c>
      <c r="N708" s="11" t="s">
        <v>39</v>
      </c>
      <c r="O708" s="11" t="s">
        <v>71</v>
      </c>
    </row>
    <row r="709" spans="2:15" ht="21" customHeight="1" x14ac:dyDescent="0.3">
      <c r="B709" s="4" t="s">
        <v>14</v>
      </c>
      <c r="C709" s="5">
        <v>30</v>
      </c>
      <c r="D709" s="6" t="s">
        <v>29</v>
      </c>
      <c r="E709" s="4" t="s">
        <v>16</v>
      </c>
      <c r="F709" s="4" t="s">
        <v>24</v>
      </c>
      <c r="G709" s="7">
        <v>5</v>
      </c>
      <c r="H709" s="1">
        <v>25000000</v>
      </c>
      <c r="I709" s="4">
        <v>3</v>
      </c>
      <c r="J709" s="8">
        <v>2.4305555555555556E-3</v>
      </c>
      <c r="K709" s="4" t="s">
        <v>18</v>
      </c>
      <c r="L709" s="4" t="s">
        <v>19</v>
      </c>
      <c r="M709" s="4" t="s">
        <v>35</v>
      </c>
      <c r="N709" s="4" t="s">
        <v>21</v>
      </c>
      <c r="O709" s="4" t="s">
        <v>45</v>
      </c>
    </row>
    <row r="710" spans="2:15" ht="21" customHeight="1" x14ac:dyDescent="0.3">
      <c r="B710" s="11" t="s">
        <v>14</v>
      </c>
      <c r="C710" s="12">
        <v>22</v>
      </c>
      <c r="D710" s="13" t="s">
        <v>41</v>
      </c>
      <c r="E710" s="11" t="s">
        <v>16</v>
      </c>
      <c r="F710" s="11" t="s">
        <v>46</v>
      </c>
      <c r="G710" s="14">
        <v>2</v>
      </c>
      <c r="H710" s="15">
        <v>38000000</v>
      </c>
      <c r="I710" s="11">
        <v>6</v>
      </c>
      <c r="J710" s="16">
        <v>2.4305555555555556E-3</v>
      </c>
      <c r="K710" s="11" t="s">
        <v>50</v>
      </c>
      <c r="L710" s="11" t="s">
        <v>31</v>
      </c>
      <c r="M710" s="11" t="s">
        <v>47</v>
      </c>
      <c r="N710" s="11" t="s">
        <v>21</v>
      </c>
      <c r="O710" s="11" t="s">
        <v>70</v>
      </c>
    </row>
    <row r="711" spans="2:15" ht="21" customHeight="1" x14ac:dyDescent="0.3">
      <c r="B711" s="4" t="s">
        <v>14</v>
      </c>
      <c r="C711" s="5">
        <v>7</v>
      </c>
      <c r="D711" s="6" t="s">
        <v>41</v>
      </c>
      <c r="E711" s="4" t="s">
        <v>16</v>
      </c>
      <c r="F711" s="4" t="s">
        <v>46</v>
      </c>
      <c r="G711" s="7">
        <v>2</v>
      </c>
      <c r="H711" s="1">
        <v>10000000</v>
      </c>
      <c r="I711" s="4">
        <v>5</v>
      </c>
      <c r="J711" s="8">
        <v>2.4305555555555556E-3</v>
      </c>
      <c r="K711" s="4" t="s">
        <v>18</v>
      </c>
      <c r="L711" s="4" t="s">
        <v>31</v>
      </c>
      <c r="M711" s="4" t="s">
        <v>32</v>
      </c>
      <c r="N711" s="4" t="s">
        <v>27</v>
      </c>
      <c r="O711" s="4" t="s">
        <v>33</v>
      </c>
    </row>
    <row r="712" spans="2:15" ht="21" customHeight="1" x14ac:dyDescent="0.3">
      <c r="B712" s="11" t="s">
        <v>14</v>
      </c>
      <c r="C712" s="12">
        <v>8</v>
      </c>
      <c r="D712" s="13" t="s">
        <v>41</v>
      </c>
      <c r="E712" s="11" t="s">
        <v>16</v>
      </c>
      <c r="F712" s="11" t="s">
        <v>46</v>
      </c>
      <c r="G712" s="14">
        <v>3</v>
      </c>
      <c r="H712" s="15">
        <v>12000000</v>
      </c>
      <c r="I712" s="11">
        <v>3</v>
      </c>
      <c r="J712" s="16">
        <v>2.4305555555555556E-3</v>
      </c>
      <c r="K712" s="11" t="s">
        <v>18</v>
      </c>
      <c r="L712" s="11" t="s">
        <v>60</v>
      </c>
      <c r="M712" s="11" t="s">
        <v>32</v>
      </c>
      <c r="N712" s="11" t="s">
        <v>36</v>
      </c>
      <c r="O712" s="11" t="s">
        <v>58</v>
      </c>
    </row>
    <row r="713" spans="2:15" ht="21" customHeight="1" x14ac:dyDescent="0.3">
      <c r="B713" s="4" t="s">
        <v>14</v>
      </c>
      <c r="C713" s="5">
        <v>19</v>
      </c>
      <c r="D713" s="6" t="s">
        <v>41</v>
      </c>
      <c r="E713" s="4" t="s">
        <v>30</v>
      </c>
      <c r="F713" s="4" t="s">
        <v>72</v>
      </c>
      <c r="G713" s="7">
        <v>4</v>
      </c>
      <c r="H713" s="1">
        <v>20000000</v>
      </c>
      <c r="I713" s="4">
        <v>1</v>
      </c>
      <c r="J713" s="8">
        <v>2.4305555555555556E-3</v>
      </c>
      <c r="K713" s="4" t="s">
        <v>18</v>
      </c>
      <c r="L713" s="4" t="s">
        <v>60</v>
      </c>
      <c r="M713" s="4" t="s">
        <v>44</v>
      </c>
      <c r="N713" s="4" t="s">
        <v>27</v>
      </c>
      <c r="O713" s="4" t="s">
        <v>79</v>
      </c>
    </row>
    <row r="714" spans="2:15" ht="21" customHeight="1" x14ac:dyDescent="0.3">
      <c r="B714" s="11" t="s">
        <v>14</v>
      </c>
      <c r="C714" s="12">
        <v>28</v>
      </c>
      <c r="D714" s="13" t="s">
        <v>41</v>
      </c>
      <c r="E714" s="11" t="s">
        <v>42</v>
      </c>
      <c r="F714" s="11" t="s">
        <v>46</v>
      </c>
      <c r="G714" s="14">
        <v>2</v>
      </c>
      <c r="H714" s="15">
        <v>12000000</v>
      </c>
      <c r="I714" s="11">
        <v>3</v>
      </c>
      <c r="J714" s="16">
        <v>2.4305555555555556E-3</v>
      </c>
      <c r="K714" s="11" t="s">
        <v>18</v>
      </c>
      <c r="L714" s="11" t="s">
        <v>51</v>
      </c>
      <c r="M714" s="11" t="s">
        <v>47</v>
      </c>
      <c r="N714" s="11" t="s">
        <v>36</v>
      </c>
      <c r="O714" s="11" t="s">
        <v>69</v>
      </c>
    </row>
    <row r="715" spans="2:15" ht="21" customHeight="1" x14ac:dyDescent="0.3">
      <c r="B715" s="4" t="s">
        <v>14</v>
      </c>
      <c r="C715" s="5">
        <v>5</v>
      </c>
      <c r="D715" s="6" t="s">
        <v>48</v>
      </c>
      <c r="E715" s="4" t="s">
        <v>16</v>
      </c>
      <c r="F715" s="4" t="s">
        <v>46</v>
      </c>
      <c r="G715" s="7">
        <v>1</v>
      </c>
      <c r="H715" s="1">
        <v>19000000</v>
      </c>
      <c r="I715" s="4">
        <v>2</v>
      </c>
      <c r="J715" s="8">
        <v>2.4305555555555556E-3</v>
      </c>
      <c r="K715" s="4" t="s">
        <v>50</v>
      </c>
      <c r="L715" s="4" t="s">
        <v>25</v>
      </c>
      <c r="M715" s="4" t="s">
        <v>26</v>
      </c>
      <c r="N715" s="4" t="s">
        <v>27</v>
      </c>
      <c r="O715" s="4" t="s">
        <v>28</v>
      </c>
    </row>
    <row r="716" spans="2:15" ht="21" customHeight="1" x14ac:dyDescent="0.3">
      <c r="B716" s="11" t="s">
        <v>14</v>
      </c>
      <c r="C716" s="12">
        <v>1</v>
      </c>
      <c r="D716" s="13" t="s">
        <v>59</v>
      </c>
      <c r="E716" s="11" t="s">
        <v>53</v>
      </c>
      <c r="F716" s="11" t="s">
        <v>24</v>
      </c>
      <c r="G716" s="14">
        <v>1</v>
      </c>
      <c r="H716" s="15">
        <v>7000000</v>
      </c>
      <c r="I716" s="11">
        <v>3</v>
      </c>
      <c r="J716" s="16">
        <v>2.4305555555555556E-3</v>
      </c>
      <c r="K716" s="11" t="s">
        <v>18</v>
      </c>
      <c r="L716" s="11" t="s">
        <v>54</v>
      </c>
      <c r="M716" s="11" t="s">
        <v>52</v>
      </c>
      <c r="N716" s="11" t="s">
        <v>21</v>
      </c>
      <c r="O716" s="11" t="s">
        <v>45</v>
      </c>
    </row>
    <row r="717" spans="2:15" ht="21" customHeight="1" x14ac:dyDescent="0.3">
      <c r="B717" s="4" t="s">
        <v>14</v>
      </c>
      <c r="C717" s="5">
        <v>11</v>
      </c>
      <c r="D717" s="6" t="s">
        <v>61</v>
      </c>
      <c r="E717" s="4" t="s">
        <v>42</v>
      </c>
      <c r="F717" s="4" t="s">
        <v>24</v>
      </c>
      <c r="G717" s="7">
        <v>4</v>
      </c>
      <c r="H717" s="1">
        <v>20000000</v>
      </c>
      <c r="I717" s="4">
        <v>2</v>
      </c>
      <c r="J717" s="8">
        <v>2.4305555555555556E-3</v>
      </c>
      <c r="K717" s="4" t="s">
        <v>65</v>
      </c>
      <c r="L717" s="4" t="s">
        <v>31</v>
      </c>
      <c r="M717" s="4" t="s">
        <v>55</v>
      </c>
      <c r="N717" s="4" t="s">
        <v>27</v>
      </c>
      <c r="O717" s="4" t="s">
        <v>75</v>
      </c>
    </row>
    <row r="718" spans="2:15" ht="21" customHeight="1" x14ac:dyDescent="0.3">
      <c r="B718" s="11" t="s">
        <v>14</v>
      </c>
      <c r="C718" s="12">
        <v>25</v>
      </c>
      <c r="D718" s="13" t="s">
        <v>23</v>
      </c>
      <c r="E718" s="11" t="s">
        <v>16</v>
      </c>
      <c r="F718" s="11" t="s">
        <v>17</v>
      </c>
      <c r="G718" s="14">
        <v>3</v>
      </c>
      <c r="H718" s="15">
        <v>15000000</v>
      </c>
      <c r="I718" s="11">
        <v>1</v>
      </c>
      <c r="J718" s="16">
        <v>2.4305555555555556E-3</v>
      </c>
      <c r="K718" s="11" t="s">
        <v>18</v>
      </c>
      <c r="L718" s="11" t="s">
        <v>19</v>
      </c>
      <c r="M718" s="11" t="s">
        <v>26</v>
      </c>
      <c r="N718" s="11" t="s">
        <v>39</v>
      </c>
      <c r="O718" s="11" t="s">
        <v>71</v>
      </c>
    </row>
    <row r="719" spans="2:15" ht="21" customHeight="1" x14ac:dyDescent="0.3">
      <c r="B719" s="4" t="s">
        <v>74</v>
      </c>
      <c r="C719" s="5">
        <v>12</v>
      </c>
      <c r="D719" s="6" t="s">
        <v>29</v>
      </c>
      <c r="E719" s="4" t="s">
        <v>34</v>
      </c>
      <c r="F719" s="4" t="s">
        <v>46</v>
      </c>
      <c r="G719" s="7">
        <v>0</v>
      </c>
      <c r="H719" s="1">
        <v>0</v>
      </c>
      <c r="I719" s="4">
        <v>1</v>
      </c>
      <c r="J719" s="8">
        <v>2.4305555555555556E-3</v>
      </c>
      <c r="K719" s="4"/>
      <c r="L719" s="4"/>
      <c r="M719" s="4" t="s">
        <v>32</v>
      </c>
      <c r="N719" s="4" t="s">
        <v>21</v>
      </c>
      <c r="O719" s="4" t="s">
        <v>66</v>
      </c>
    </row>
    <row r="720" spans="2:15" ht="21" customHeight="1" x14ac:dyDescent="0.3">
      <c r="B720" s="11" t="s">
        <v>74</v>
      </c>
      <c r="C720" s="12">
        <v>14</v>
      </c>
      <c r="D720" s="13" t="s">
        <v>73</v>
      </c>
      <c r="E720" s="11" t="s">
        <v>30</v>
      </c>
      <c r="F720" s="11" t="s">
        <v>24</v>
      </c>
      <c r="G720" s="14">
        <v>0</v>
      </c>
      <c r="H720" s="15">
        <v>0</v>
      </c>
      <c r="I720" s="11">
        <v>4</v>
      </c>
      <c r="J720" s="16">
        <v>2.4305555555555556E-3</v>
      </c>
      <c r="K720" s="11"/>
      <c r="L720" s="11"/>
      <c r="M720" s="11" t="s">
        <v>32</v>
      </c>
      <c r="N720" s="11" t="s">
        <v>27</v>
      </c>
      <c r="O720" s="11" t="s">
        <v>33</v>
      </c>
    </row>
    <row r="721" spans="2:15" ht="21" customHeight="1" x14ac:dyDescent="0.3">
      <c r="B721" s="4" t="s">
        <v>14</v>
      </c>
      <c r="C721" s="5">
        <v>11</v>
      </c>
      <c r="D721" s="6" t="s">
        <v>61</v>
      </c>
      <c r="E721" s="4" t="s">
        <v>16</v>
      </c>
      <c r="F721" s="4" t="s">
        <v>72</v>
      </c>
      <c r="G721" s="7">
        <v>3</v>
      </c>
      <c r="H721" s="1">
        <v>15000000</v>
      </c>
      <c r="I721" s="4">
        <v>1</v>
      </c>
      <c r="J721" s="8">
        <v>2.5462962962962961E-3</v>
      </c>
      <c r="K721" s="4" t="s">
        <v>18</v>
      </c>
      <c r="L721" s="4" t="s">
        <v>19</v>
      </c>
      <c r="M721" s="4" t="s">
        <v>35</v>
      </c>
      <c r="N721" s="4" t="s">
        <v>39</v>
      </c>
      <c r="O721" s="4" t="s">
        <v>71</v>
      </c>
    </row>
    <row r="722" spans="2:15" ht="21" customHeight="1" x14ac:dyDescent="0.3">
      <c r="B722" s="11" t="s">
        <v>14</v>
      </c>
      <c r="C722" s="12">
        <v>13</v>
      </c>
      <c r="D722" s="13" t="s">
        <v>76</v>
      </c>
      <c r="E722" s="11" t="s">
        <v>42</v>
      </c>
      <c r="F722" s="11" t="s">
        <v>24</v>
      </c>
      <c r="G722" s="14">
        <v>3</v>
      </c>
      <c r="H722" s="15">
        <v>15000000</v>
      </c>
      <c r="I722" s="11">
        <v>5</v>
      </c>
      <c r="J722" s="16">
        <v>2.5462962962962961E-3</v>
      </c>
      <c r="K722" s="11" t="s">
        <v>18</v>
      </c>
      <c r="L722" s="11" t="s">
        <v>51</v>
      </c>
      <c r="M722" s="11" t="s">
        <v>55</v>
      </c>
      <c r="N722" s="11" t="s">
        <v>36</v>
      </c>
      <c r="O722" s="11" t="s">
        <v>69</v>
      </c>
    </row>
    <row r="723" spans="2:15" ht="21" customHeight="1" x14ac:dyDescent="0.3">
      <c r="B723" s="4" t="s">
        <v>14</v>
      </c>
      <c r="C723" s="5">
        <v>10</v>
      </c>
      <c r="D723" s="6" t="s">
        <v>23</v>
      </c>
      <c r="E723" s="4" t="s">
        <v>16</v>
      </c>
      <c r="F723" s="4" t="s">
        <v>24</v>
      </c>
      <c r="G723" s="7">
        <v>2</v>
      </c>
      <c r="H723" s="1">
        <v>12000000</v>
      </c>
      <c r="I723" s="4">
        <v>2</v>
      </c>
      <c r="J723" s="8">
        <v>2.5462962962962961E-3</v>
      </c>
      <c r="K723" s="4" t="s">
        <v>18</v>
      </c>
      <c r="L723" s="4" t="s">
        <v>31</v>
      </c>
      <c r="M723" s="4" t="s">
        <v>52</v>
      </c>
      <c r="N723" s="4" t="s">
        <v>27</v>
      </c>
      <c r="O723" s="4" t="s">
        <v>56</v>
      </c>
    </row>
    <row r="724" spans="2:15" ht="21" customHeight="1" x14ac:dyDescent="0.3">
      <c r="B724" s="11" t="s">
        <v>14</v>
      </c>
      <c r="C724" s="12">
        <v>19</v>
      </c>
      <c r="D724" s="13" t="s">
        <v>23</v>
      </c>
      <c r="E724" s="11" t="s">
        <v>53</v>
      </c>
      <c r="F724" s="11" t="s">
        <v>46</v>
      </c>
      <c r="G724" s="14">
        <v>3</v>
      </c>
      <c r="H724" s="15">
        <v>15000000</v>
      </c>
      <c r="I724" s="11">
        <v>2</v>
      </c>
      <c r="J724" s="16">
        <v>2.5462962962962961E-3</v>
      </c>
      <c r="K724" s="11" t="s">
        <v>18</v>
      </c>
      <c r="L724" s="11" t="s">
        <v>19</v>
      </c>
      <c r="M724" s="11" t="s">
        <v>44</v>
      </c>
      <c r="N724" s="11" t="s">
        <v>36</v>
      </c>
      <c r="O724" s="11" t="s">
        <v>69</v>
      </c>
    </row>
    <row r="725" spans="2:15" ht="21" customHeight="1" x14ac:dyDescent="0.3">
      <c r="B725" s="4" t="s">
        <v>14</v>
      </c>
      <c r="C725" s="5">
        <v>11</v>
      </c>
      <c r="D725" s="6" t="s">
        <v>29</v>
      </c>
      <c r="E725" s="4" t="s">
        <v>16</v>
      </c>
      <c r="F725" s="4" t="s">
        <v>24</v>
      </c>
      <c r="G725" s="7">
        <v>5</v>
      </c>
      <c r="H725" s="1">
        <v>21000000</v>
      </c>
      <c r="I725" s="4">
        <v>5</v>
      </c>
      <c r="J725" s="8">
        <v>2.5462962962962961E-3</v>
      </c>
      <c r="K725" s="4" t="s">
        <v>18</v>
      </c>
      <c r="L725" s="4" t="s">
        <v>60</v>
      </c>
      <c r="M725" s="4" t="s">
        <v>44</v>
      </c>
      <c r="N725" s="4" t="s">
        <v>27</v>
      </c>
      <c r="O725" s="4" t="s">
        <v>79</v>
      </c>
    </row>
    <row r="726" spans="2:15" ht="21" customHeight="1" x14ac:dyDescent="0.3">
      <c r="B726" s="11" t="s">
        <v>14</v>
      </c>
      <c r="C726" s="12">
        <v>30</v>
      </c>
      <c r="D726" s="13" t="s">
        <v>29</v>
      </c>
      <c r="E726" s="11" t="s">
        <v>34</v>
      </c>
      <c r="F726" s="11" t="s">
        <v>17</v>
      </c>
      <c r="G726" s="14">
        <v>4</v>
      </c>
      <c r="H726" s="15">
        <v>20000000</v>
      </c>
      <c r="I726" s="11">
        <v>4</v>
      </c>
      <c r="J726" s="16">
        <v>2.5462962962962961E-3</v>
      </c>
      <c r="K726" s="11" t="s">
        <v>18</v>
      </c>
      <c r="L726" s="11" t="s">
        <v>54</v>
      </c>
      <c r="M726" s="11" t="s">
        <v>47</v>
      </c>
      <c r="N726" s="11" t="s">
        <v>27</v>
      </c>
      <c r="O726" s="11" t="s">
        <v>28</v>
      </c>
    </row>
    <row r="727" spans="2:15" ht="21" customHeight="1" x14ac:dyDescent="0.3">
      <c r="B727" s="4" t="s">
        <v>14</v>
      </c>
      <c r="C727" s="5">
        <v>30</v>
      </c>
      <c r="D727" s="6" t="s">
        <v>41</v>
      </c>
      <c r="E727" s="4" t="s">
        <v>30</v>
      </c>
      <c r="F727" s="4" t="s">
        <v>46</v>
      </c>
      <c r="G727" s="7">
        <v>2</v>
      </c>
      <c r="H727" s="1">
        <v>12000000</v>
      </c>
      <c r="I727" s="4">
        <v>1</v>
      </c>
      <c r="J727" s="8">
        <v>2.5462962962962961E-3</v>
      </c>
      <c r="K727" s="4" t="s">
        <v>18</v>
      </c>
      <c r="L727" s="4" t="s">
        <v>60</v>
      </c>
      <c r="M727" s="4" t="s">
        <v>52</v>
      </c>
      <c r="N727" s="4" t="s">
        <v>36</v>
      </c>
      <c r="O727" s="4" t="s">
        <v>69</v>
      </c>
    </row>
    <row r="728" spans="2:15" ht="21" customHeight="1" x14ac:dyDescent="0.3">
      <c r="B728" s="11" t="s">
        <v>14</v>
      </c>
      <c r="C728" s="12">
        <v>17</v>
      </c>
      <c r="D728" s="13" t="s">
        <v>48</v>
      </c>
      <c r="E728" s="11" t="s">
        <v>34</v>
      </c>
      <c r="F728" s="11" t="s">
        <v>17</v>
      </c>
      <c r="G728" s="14">
        <v>4</v>
      </c>
      <c r="H728" s="15">
        <v>11000000</v>
      </c>
      <c r="I728" s="11">
        <v>1</v>
      </c>
      <c r="J728" s="16">
        <v>2.5462962962962961E-3</v>
      </c>
      <c r="K728" s="11" t="s">
        <v>65</v>
      </c>
      <c r="L728" s="11" t="s">
        <v>31</v>
      </c>
      <c r="M728" s="11" t="s">
        <v>44</v>
      </c>
      <c r="N728" s="11" t="s">
        <v>39</v>
      </c>
      <c r="O728" s="11" t="s">
        <v>71</v>
      </c>
    </row>
    <row r="729" spans="2:15" ht="21" customHeight="1" x14ac:dyDescent="0.3">
      <c r="B729" s="4" t="s">
        <v>14</v>
      </c>
      <c r="C729" s="5">
        <v>16</v>
      </c>
      <c r="D729" s="6" t="s">
        <v>48</v>
      </c>
      <c r="E729" s="4" t="s">
        <v>42</v>
      </c>
      <c r="F729" s="4" t="s">
        <v>72</v>
      </c>
      <c r="G729" s="7">
        <v>5</v>
      </c>
      <c r="H729" s="1">
        <v>25000000</v>
      </c>
      <c r="I729" s="4">
        <v>1</v>
      </c>
      <c r="J729" s="8">
        <v>2.5462962962962961E-3</v>
      </c>
      <c r="K729" s="4" t="s">
        <v>18</v>
      </c>
      <c r="L729" s="4" t="s">
        <v>31</v>
      </c>
      <c r="M729" s="4" t="s">
        <v>26</v>
      </c>
      <c r="N729" s="4" t="s">
        <v>27</v>
      </c>
      <c r="O729" s="4" t="s">
        <v>56</v>
      </c>
    </row>
    <row r="730" spans="2:15" ht="21" customHeight="1" x14ac:dyDescent="0.3">
      <c r="B730" s="11" t="s">
        <v>14</v>
      </c>
      <c r="C730" s="12">
        <v>27</v>
      </c>
      <c r="D730" s="13" t="s">
        <v>73</v>
      </c>
      <c r="E730" s="11" t="s">
        <v>34</v>
      </c>
      <c r="F730" s="11" t="s">
        <v>46</v>
      </c>
      <c r="G730" s="14">
        <v>2</v>
      </c>
      <c r="H730" s="15">
        <v>38000000</v>
      </c>
      <c r="I730" s="11">
        <v>1</v>
      </c>
      <c r="J730" s="16">
        <v>2.5462962962962961E-3</v>
      </c>
      <c r="K730" s="11" t="s">
        <v>50</v>
      </c>
      <c r="L730" s="11" t="s">
        <v>19</v>
      </c>
      <c r="M730" s="11" t="s">
        <v>32</v>
      </c>
      <c r="N730" s="11" t="s">
        <v>21</v>
      </c>
      <c r="O730" s="11" t="s">
        <v>67</v>
      </c>
    </row>
    <row r="731" spans="2:15" ht="21" customHeight="1" x14ac:dyDescent="0.3">
      <c r="B731" s="4" t="s">
        <v>14</v>
      </c>
      <c r="C731" s="5">
        <v>11</v>
      </c>
      <c r="D731" s="6" t="s">
        <v>61</v>
      </c>
      <c r="E731" s="4" t="s">
        <v>16</v>
      </c>
      <c r="F731" s="4" t="s">
        <v>72</v>
      </c>
      <c r="G731" s="7">
        <v>3</v>
      </c>
      <c r="H731" s="1">
        <v>15000000</v>
      </c>
      <c r="I731" s="4">
        <v>1</v>
      </c>
      <c r="J731" s="8">
        <v>2.5462962962962961E-3</v>
      </c>
      <c r="K731" s="4" t="s">
        <v>18</v>
      </c>
      <c r="L731" s="4" t="s">
        <v>19</v>
      </c>
      <c r="M731" s="4" t="s">
        <v>35</v>
      </c>
      <c r="N731" s="4" t="s">
        <v>39</v>
      </c>
      <c r="O731" s="4" t="s">
        <v>71</v>
      </c>
    </row>
    <row r="732" spans="2:15" ht="21" customHeight="1" x14ac:dyDescent="0.3">
      <c r="B732" s="11" t="s">
        <v>14</v>
      </c>
      <c r="C732" s="12">
        <v>13</v>
      </c>
      <c r="D732" s="13" t="s">
        <v>76</v>
      </c>
      <c r="E732" s="11" t="s">
        <v>42</v>
      </c>
      <c r="F732" s="11" t="s">
        <v>24</v>
      </c>
      <c r="G732" s="14">
        <v>3</v>
      </c>
      <c r="H732" s="15">
        <v>15000000</v>
      </c>
      <c r="I732" s="11">
        <v>5</v>
      </c>
      <c r="J732" s="16">
        <v>2.5462962962962961E-3</v>
      </c>
      <c r="K732" s="11" t="s">
        <v>18</v>
      </c>
      <c r="L732" s="11" t="s">
        <v>51</v>
      </c>
      <c r="M732" s="11" t="s">
        <v>55</v>
      </c>
      <c r="N732" s="11" t="s">
        <v>36</v>
      </c>
      <c r="O732" s="11" t="s">
        <v>69</v>
      </c>
    </row>
    <row r="733" spans="2:15" ht="21" customHeight="1" x14ac:dyDescent="0.3">
      <c r="B733" s="4" t="s">
        <v>14</v>
      </c>
      <c r="C733" s="5">
        <v>10</v>
      </c>
      <c r="D733" s="6" t="s">
        <v>23</v>
      </c>
      <c r="E733" s="4" t="s">
        <v>16</v>
      </c>
      <c r="F733" s="4" t="s">
        <v>24</v>
      </c>
      <c r="G733" s="7">
        <v>2</v>
      </c>
      <c r="H733" s="1">
        <v>12000000</v>
      </c>
      <c r="I733" s="4">
        <v>2</v>
      </c>
      <c r="J733" s="8">
        <v>2.5462962962962961E-3</v>
      </c>
      <c r="K733" s="4" t="s">
        <v>18</v>
      </c>
      <c r="L733" s="4" t="s">
        <v>31</v>
      </c>
      <c r="M733" s="4" t="s">
        <v>52</v>
      </c>
      <c r="N733" s="4" t="s">
        <v>27</v>
      </c>
      <c r="O733" s="4" t="s">
        <v>56</v>
      </c>
    </row>
    <row r="734" spans="2:15" ht="21" customHeight="1" x14ac:dyDescent="0.3">
      <c r="B734" s="11" t="s">
        <v>14</v>
      </c>
      <c r="C734" s="12">
        <v>19</v>
      </c>
      <c r="D734" s="13" t="s">
        <v>23</v>
      </c>
      <c r="E734" s="11" t="s">
        <v>53</v>
      </c>
      <c r="F734" s="11" t="s">
        <v>46</v>
      </c>
      <c r="G734" s="14">
        <v>3</v>
      </c>
      <c r="H734" s="15">
        <v>15000000</v>
      </c>
      <c r="I734" s="11">
        <v>2</v>
      </c>
      <c r="J734" s="16">
        <v>2.5462962962962961E-3</v>
      </c>
      <c r="K734" s="11" t="s">
        <v>18</v>
      </c>
      <c r="L734" s="11" t="s">
        <v>19</v>
      </c>
      <c r="M734" s="11" t="s">
        <v>44</v>
      </c>
      <c r="N734" s="11" t="s">
        <v>36</v>
      </c>
      <c r="O734" s="11" t="s">
        <v>69</v>
      </c>
    </row>
    <row r="735" spans="2:15" ht="21" customHeight="1" x14ac:dyDescent="0.3">
      <c r="B735" s="4" t="s">
        <v>74</v>
      </c>
      <c r="C735" s="5">
        <v>23</v>
      </c>
      <c r="D735" s="6" t="s">
        <v>29</v>
      </c>
      <c r="E735" s="4" t="s">
        <v>34</v>
      </c>
      <c r="F735" s="4" t="s">
        <v>46</v>
      </c>
      <c r="G735" s="7">
        <v>0</v>
      </c>
      <c r="H735" s="1">
        <v>0</v>
      </c>
      <c r="I735" s="4">
        <v>1</v>
      </c>
      <c r="J735" s="8">
        <v>2.5462962962962961E-3</v>
      </c>
      <c r="K735" s="4"/>
      <c r="L735" s="4"/>
      <c r="M735" s="4" t="s">
        <v>44</v>
      </c>
      <c r="N735" s="4" t="s">
        <v>27</v>
      </c>
      <c r="O735" s="4" t="s">
        <v>28</v>
      </c>
    </row>
    <row r="736" spans="2:15" ht="21" customHeight="1" x14ac:dyDescent="0.3">
      <c r="B736" s="11" t="s">
        <v>74</v>
      </c>
      <c r="C736" s="12">
        <v>19</v>
      </c>
      <c r="D736" s="13" t="s">
        <v>41</v>
      </c>
      <c r="E736" s="11" t="s">
        <v>34</v>
      </c>
      <c r="F736" s="11" t="s">
        <v>46</v>
      </c>
      <c r="G736" s="14">
        <v>0</v>
      </c>
      <c r="H736" s="15">
        <v>0</v>
      </c>
      <c r="I736" s="11">
        <v>4</v>
      </c>
      <c r="J736" s="16">
        <v>2.5462962962962961E-3</v>
      </c>
      <c r="K736" s="11"/>
      <c r="L736" s="11"/>
      <c r="M736" s="11" t="s">
        <v>47</v>
      </c>
      <c r="N736" s="11" t="s">
        <v>21</v>
      </c>
      <c r="O736" s="11" t="s">
        <v>67</v>
      </c>
    </row>
    <row r="737" spans="2:15" ht="21" customHeight="1" x14ac:dyDescent="0.3">
      <c r="B737" s="4" t="s">
        <v>74</v>
      </c>
      <c r="C737" s="5">
        <v>27</v>
      </c>
      <c r="D737" s="6" t="s">
        <v>48</v>
      </c>
      <c r="E737" s="4" t="s">
        <v>16</v>
      </c>
      <c r="F737" s="4" t="s">
        <v>46</v>
      </c>
      <c r="G737" s="7">
        <v>0</v>
      </c>
      <c r="H737" s="1">
        <v>0</v>
      </c>
      <c r="I737" s="4">
        <v>1</v>
      </c>
      <c r="J737" s="8">
        <v>2.5462962962962961E-3</v>
      </c>
      <c r="K737" s="4"/>
      <c r="L737" s="4"/>
      <c r="M737" s="4" t="s">
        <v>32</v>
      </c>
      <c r="N737" s="4" t="s">
        <v>21</v>
      </c>
      <c r="O737" s="4" t="s">
        <v>66</v>
      </c>
    </row>
    <row r="738" spans="2:15" ht="21" customHeight="1" x14ac:dyDescent="0.3">
      <c r="B738" s="11" t="s">
        <v>14</v>
      </c>
      <c r="C738" s="12">
        <v>15</v>
      </c>
      <c r="D738" s="13" t="s">
        <v>61</v>
      </c>
      <c r="E738" s="11" t="s">
        <v>53</v>
      </c>
      <c r="F738" s="11" t="s">
        <v>24</v>
      </c>
      <c r="G738" s="14">
        <v>3</v>
      </c>
      <c r="H738" s="15">
        <v>12000000</v>
      </c>
      <c r="I738" s="11">
        <v>4</v>
      </c>
      <c r="J738" s="16">
        <v>2.7777777777777779E-3</v>
      </c>
      <c r="K738" s="11" t="s">
        <v>18</v>
      </c>
      <c r="L738" s="11" t="s">
        <v>31</v>
      </c>
      <c r="M738" s="11" t="s">
        <v>32</v>
      </c>
      <c r="N738" s="11" t="s">
        <v>21</v>
      </c>
      <c r="O738" s="11" t="s">
        <v>57</v>
      </c>
    </row>
    <row r="739" spans="2:15" ht="21" customHeight="1" x14ac:dyDescent="0.3">
      <c r="B739" s="4" t="s">
        <v>14</v>
      </c>
      <c r="C739" s="5">
        <v>4</v>
      </c>
      <c r="D739" s="6" t="s">
        <v>76</v>
      </c>
      <c r="E739" s="4" t="s">
        <v>30</v>
      </c>
      <c r="F739" s="4" t="s">
        <v>24</v>
      </c>
      <c r="G739" s="7">
        <v>1</v>
      </c>
      <c r="H739" s="1">
        <v>19000000</v>
      </c>
      <c r="I739" s="4">
        <v>2</v>
      </c>
      <c r="J739" s="8">
        <v>2.7777777777777779E-3</v>
      </c>
      <c r="K739" s="4" t="s">
        <v>50</v>
      </c>
      <c r="L739" s="4" t="s">
        <v>51</v>
      </c>
      <c r="M739" s="4" t="s">
        <v>26</v>
      </c>
      <c r="N739" s="4" t="s">
        <v>36</v>
      </c>
      <c r="O739" s="4" t="s">
        <v>37</v>
      </c>
    </row>
    <row r="740" spans="2:15" ht="21" customHeight="1" x14ac:dyDescent="0.3">
      <c r="B740" s="11" t="s">
        <v>14</v>
      </c>
      <c r="C740" s="12">
        <v>11</v>
      </c>
      <c r="D740" s="13" t="s">
        <v>29</v>
      </c>
      <c r="E740" s="11" t="s">
        <v>16</v>
      </c>
      <c r="F740" s="11" t="s">
        <v>17</v>
      </c>
      <c r="G740" s="14">
        <v>2</v>
      </c>
      <c r="H740" s="15">
        <v>38000000</v>
      </c>
      <c r="I740" s="11">
        <v>1</v>
      </c>
      <c r="J740" s="16">
        <v>2.7777777777777779E-3</v>
      </c>
      <c r="K740" s="11" t="s">
        <v>78</v>
      </c>
      <c r="L740" s="11" t="s">
        <v>43</v>
      </c>
      <c r="M740" s="11" t="s">
        <v>44</v>
      </c>
      <c r="N740" s="11" t="s">
        <v>27</v>
      </c>
      <c r="O740" s="11" t="s">
        <v>79</v>
      </c>
    </row>
    <row r="741" spans="2:15" ht="21" customHeight="1" x14ac:dyDescent="0.3">
      <c r="B741" s="4" t="s">
        <v>14</v>
      </c>
      <c r="C741" s="5">
        <v>23</v>
      </c>
      <c r="D741" s="6" t="s">
        <v>29</v>
      </c>
      <c r="E741" s="4" t="s">
        <v>34</v>
      </c>
      <c r="F741" s="4" t="s">
        <v>17</v>
      </c>
      <c r="G741" s="7">
        <v>1</v>
      </c>
      <c r="H741" s="1">
        <v>7000000</v>
      </c>
      <c r="I741" s="4">
        <v>3</v>
      </c>
      <c r="J741" s="8">
        <v>2.7777777777777779E-3</v>
      </c>
      <c r="K741" s="4" t="s">
        <v>18</v>
      </c>
      <c r="L741" s="4" t="s">
        <v>19</v>
      </c>
      <c r="M741" s="4" t="s">
        <v>47</v>
      </c>
      <c r="N741" s="4" t="s">
        <v>39</v>
      </c>
      <c r="O741" s="4" t="s">
        <v>40</v>
      </c>
    </row>
    <row r="742" spans="2:15" ht="21" customHeight="1" x14ac:dyDescent="0.3">
      <c r="B742" s="11" t="s">
        <v>14</v>
      </c>
      <c r="C742" s="12">
        <v>8</v>
      </c>
      <c r="D742" s="13" t="s">
        <v>41</v>
      </c>
      <c r="E742" s="11" t="s">
        <v>30</v>
      </c>
      <c r="F742" s="11" t="s">
        <v>24</v>
      </c>
      <c r="G742" s="14">
        <v>4</v>
      </c>
      <c r="H742" s="15">
        <v>20000000</v>
      </c>
      <c r="I742" s="11">
        <v>4</v>
      </c>
      <c r="J742" s="16">
        <v>2.7777777777777779E-3</v>
      </c>
      <c r="K742" s="11" t="s">
        <v>65</v>
      </c>
      <c r="L742" s="11" t="s">
        <v>19</v>
      </c>
      <c r="M742" s="11" t="s">
        <v>20</v>
      </c>
      <c r="N742" s="11" t="s">
        <v>27</v>
      </c>
      <c r="O742" s="11" t="s">
        <v>33</v>
      </c>
    </row>
    <row r="743" spans="2:15" ht="21" customHeight="1" x14ac:dyDescent="0.3">
      <c r="B743" s="4" t="s">
        <v>14</v>
      </c>
      <c r="C743" s="5">
        <v>8</v>
      </c>
      <c r="D743" s="6" t="s">
        <v>41</v>
      </c>
      <c r="E743" s="4" t="s">
        <v>30</v>
      </c>
      <c r="F743" s="4" t="s">
        <v>17</v>
      </c>
      <c r="G743" s="7">
        <v>3</v>
      </c>
      <c r="H743" s="1">
        <v>15000000</v>
      </c>
      <c r="I743" s="4">
        <v>1</v>
      </c>
      <c r="J743" s="8">
        <v>2.7777777777777779E-3</v>
      </c>
      <c r="K743" s="4" t="s">
        <v>18</v>
      </c>
      <c r="L743" s="4" t="s">
        <v>51</v>
      </c>
      <c r="M743" s="4" t="s">
        <v>35</v>
      </c>
      <c r="N743" s="4" t="s">
        <v>21</v>
      </c>
      <c r="O743" s="4" t="s">
        <v>70</v>
      </c>
    </row>
    <row r="744" spans="2:15" ht="21" customHeight="1" x14ac:dyDescent="0.3">
      <c r="B744" s="11" t="s">
        <v>14</v>
      </c>
      <c r="C744" s="12">
        <v>29</v>
      </c>
      <c r="D744" s="13" t="s">
        <v>41</v>
      </c>
      <c r="E744" s="11" t="s">
        <v>16</v>
      </c>
      <c r="F744" s="11" t="s">
        <v>17</v>
      </c>
      <c r="G744" s="14">
        <v>2</v>
      </c>
      <c r="H744" s="15">
        <v>12000000</v>
      </c>
      <c r="I744" s="11">
        <v>1</v>
      </c>
      <c r="J744" s="16">
        <v>2.7777777777777779E-3</v>
      </c>
      <c r="K744" s="11" t="s">
        <v>18</v>
      </c>
      <c r="L744" s="11" t="s">
        <v>68</v>
      </c>
      <c r="M744" s="11" t="s">
        <v>52</v>
      </c>
      <c r="N744" s="11" t="s">
        <v>21</v>
      </c>
      <c r="O744" s="11" t="s">
        <v>66</v>
      </c>
    </row>
    <row r="745" spans="2:15" ht="21" customHeight="1" x14ac:dyDescent="0.3">
      <c r="B745" s="4" t="s">
        <v>14</v>
      </c>
      <c r="C745" s="5">
        <v>25</v>
      </c>
      <c r="D745" s="6" t="s">
        <v>41</v>
      </c>
      <c r="E745" s="4" t="s">
        <v>34</v>
      </c>
      <c r="F745" s="4" t="s">
        <v>24</v>
      </c>
      <c r="G745" s="7">
        <v>5</v>
      </c>
      <c r="H745" s="1">
        <v>25000000</v>
      </c>
      <c r="I745" s="4">
        <v>3</v>
      </c>
      <c r="J745" s="8">
        <v>2.7777777777777779E-3</v>
      </c>
      <c r="K745" s="4" t="s">
        <v>18</v>
      </c>
      <c r="L745" s="4" t="s">
        <v>31</v>
      </c>
      <c r="M745" s="4" t="s">
        <v>55</v>
      </c>
      <c r="N745" s="4" t="s">
        <v>36</v>
      </c>
      <c r="O745" s="4" t="s">
        <v>69</v>
      </c>
    </row>
    <row r="746" spans="2:15" ht="21" customHeight="1" x14ac:dyDescent="0.3">
      <c r="B746" s="11" t="s">
        <v>14</v>
      </c>
      <c r="C746" s="12">
        <v>22</v>
      </c>
      <c r="D746" s="13" t="s">
        <v>48</v>
      </c>
      <c r="E746" s="11" t="s">
        <v>30</v>
      </c>
      <c r="F746" s="11" t="s">
        <v>24</v>
      </c>
      <c r="G746" s="14">
        <v>2</v>
      </c>
      <c r="H746" s="15">
        <v>12000000</v>
      </c>
      <c r="I746" s="11">
        <v>4</v>
      </c>
      <c r="J746" s="16">
        <v>2.7777777777777779E-3</v>
      </c>
      <c r="K746" s="11" t="s">
        <v>18</v>
      </c>
      <c r="L746" s="11" t="s">
        <v>43</v>
      </c>
      <c r="M746" s="11" t="s">
        <v>26</v>
      </c>
      <c r="N746" s="11" t="s">
        <v>27</v>
      </c>
      <c r="O746" s="11" t="s">
        <v>56</v>
      </c>
    </row>
    <row r="747" spans="2:15" ht="21" customHeight="1" x14ac:dyDescent="0.3">
      <c r="B747" s="4" t="s">
        <v>14</v>
      </c>
      <c r="C747" s="5">
        <v>15</v>
      </c>
      <c r="D747" s="6" t="s">
        <v>61</v>
      </c>
      <c r="E747" s="4" t="s">
        <v>53</v>
      </c>
      <c r="F747" s="4" t="s">
        <v>24</v>
      </c>
      <c r="G747" s="7">
        <v>3</v>
      </c>
      <c r="H747" s="1">
        <v>12000000</v>
      </c>
      <c r="I747" s="4">
        <v>4</v>
      </c>
      <c r="J747" s="8">
        <v>2.7777777777777779E-3</v>
      </c>
      <c r="K747" s="4" t="s">
        <v>18</v>
      </c>
      <c r="L747" s="4" t="s">
        <v>31</v>
      </c>
      <c r="M747" s="4" t="s">
        <v>32</v>
      </c>
      <c r="N747" s="4" t="s">
        <v>21</v>
      </c>
      <c r="O747" s="4" t="s">
        <v>57</v>
      </c>
    </row>
    <row r="748" spans="2:15" ht="21" customHeight="1" x14ac:dyDescent="0.3">
      <c r="B748" s="11" t="s">
        <v>14</v>
      </c>
      <c r="C748" s="12">
        <v>4</v>
      </c>
      <c r="D748" s="13" t="s">
        <v>76</v>
      </c>
      <c r="E748" s="11" t="s">
        <v>30</v>
      </c>
      <c r="F748" s="11" t="s">
        <v>24</v>
      </c>
      <c r="G748" s="14">
        <v>1</v>
      </c>
      <c r="H748" s="15">
        <v>19000000</v>
      </c>
      <c r="I748" s="11">
        <v>2</v>
      </c>
      <c r="J748" s="16">
        <v>2.7777777777777779E-3</v>
      </c>
      <c r="K748" s="11" t="s">
        <v>50</v>
      </c>
      <c r="L748" s="11" t="s">
        <v>51</v>
      </c>
      <c r="M748" s="11" t="s">
        <v>26</v>
      </c>
      <c r="N748" s="11" t="s">
        <v>36</v>
      </c>
      <c r="O748" s="11" t="s">
        <v>37</v>
      </c>
    </row>
    <row r="749" spans="2:15" ht="21" customHeight="1" x14ac:dyDescent="0.3">
      <c r="B749" s="4" t="s">
        <v>74</v>
      </c>
      <c r="C749" s="5">
        <v>25</v>
      </c>
      <c r="D749" s="6" t="s">
        <v>41</v>
      </c>
      <c r="E749" s="4" t="s">
        <v>34</v>
      </c>
      <c r="F749" s="4" t="s">
        <v>46</v>
      </c>
      <c r="G749" s="7">
        <v>0</v>
      </c>
      <c r="H749" s="1">
        <v>0</v>
      </c>
      <c r="I749" s="4">
        <v>5</v>
      </c>
      <c r="J749" s="8">
        <v>2.7777777777777779E-3</v>
      </c>
      <c r="K749" s="4"/>
      <c r="L749" s="4"/>
      <c r="M749" s="4" t="s">
        <v>35</v>
      </c>
      <c r="N749" s="4" t="s">
        <v>36</v>
      </c>
      <c r="O749" s="4" t="s">
        <v>58</v>
      </c>
    </row>
    <row r="750" spans="2:15" ht="21" customHeight="1" x14ac:dyDescent="0.3">
      <c r="B750" s="11" t="s">
        <v>74</v>
      </c>
      <c r="C750" s="12">
        <v>26</v>
      </c>
      <c r="D750" s="13" t="s">
        <v>48</v>
      </c>
      <c r="E750" s="11" t="s">
        <v>16</v>
      </c>
      <c r="F750" s="11" t="s">
        <v>24</v>
      </c>
      <c r="G750" s="14">
        <v>0</v>
      </c>
      <c r="H750" s="15">
        <v>0</v>
      </c>
      <c r="I750" s="11">
        <v>2</v>
      </c>
      <c r="J750" s="16">
        <v>2.7777777777777779E-3</v>
      </c>
      <c r="K750" s="11"/>
      <c r="L750" s="11"/>
      <c r="M750" s="11" t="s">
        <v>47</v>
      </c>
      <c r="N750" s="11" t="s">
        <v>27</v>
      </c>
      <c r="O750" s="11" t="s">
        <v>28</v>
      </c>
    </row>
    <row r="751" spans="2:15" ht="21" customHeight="1" x14ac:dyDescent="0.3">
      <c r="B751" s="4" t="s">
        <v>74</v>
      </c>
      <c r="C751" s="5">
        <v>26</v>
      </c>
      <c r="D751" s="6" t="s">
        <v>48</v>
      </c>
      <c r="E751" s="4" t="s">
        <v>30</v>
      </c>
      <c r="F751" s="4" t="s">
        <v>24</v>
      </c>
      <c r="G751" s="7">
        <v>0</v>
      </c>
      <c r="H751" s="1">
        <v>0</v>
      </c>
      <c r="I751" s="4">
        <v>3</v>
      </c>
      <c r="J751" s="8">
        <v>2.7777777777777779E-3</v>
      </c>
      <c r="K751" s="4"/>
      <c r="L751" s="4"/>
      <c r="M751" s="4" t="s">
        <v>55</v>
      </c>
      <c r="N751" s="4" t="s">
        <v>27</v>
      </c>
      <c r="O751" s="4" t="s">
        <v>28</v>
      </c>
    </row>
    <row r="752" spans="2:15" ht="21" customHeight="1" x14ac:dyDescent="0.3">
      <c r="B752" s="11" t="s">
        <v>74</v>
      </c>
      <c r="C752" s="12">
        <v>10</v>
      </c>
      <c r="D752" s="13" t="s">
        <v>73</v>
      </c>
      <c r="E752" s="11" t="s">
        <v>34</v>
      </c>
      <c r="F752" s="11" t="s">
        <v>17</v>
      </c>
      <c r="G752" s="14">
        <v>0</v>
      </c>
      <c r="H752" s="15">
        <v>0</v>
      </c>
      <c r="I752" s="11">
        <v>3</v>
      </c>
      <c r="J752" s="16">
        <v>2.7777777777777779E-3</v>
      </c>
      <c r="K752" s="11"/>
      <c r="L752" s="11"/>
      <c r="M752" s="11" t="s">
        <v>47</v>
      </c>
      <c r="N752" s="11" t="s">
        <v>39</v>
      </c>
      <c r="O752" s="11" t="s">
        <v>40</v>
      </c>
    </row>
    <row r="753" spans="2:15" ht="21" customHeight="1" x14ac:dyDescent="0.3">
      <c r="B753" s="4" t="s">
        <v>14</v>
      </c>
      <c r="C753" s="5">
        <v>16</v>
      </c>
      <c r="D753" s="6" t="s">
        <v>59</v>
      </c>
      <c r="E753" s="4" t="s">
        <v>34</v>
      </c>
      <c r="F753" s="4" t="s">
        <v>24</v>
      </c>
      <c r="G753" s="7">
        <v>2</v>
      </c>
      <c r="H753" s="1">
        <v>12000000</v>
      </c>
      <c r="I753" s="4">
        <v>1</v>
      </c>
      <c r="J753" s="8">
        <v>3.2407407407407406E-3</v>
      </c>
      <c r="K753" s="4" t="s">
        <v>18</v>
      </c>
      <c r="L753" s="4" t="s">
        <v>31</v>
      </c>
      <c r="M753" s="4" t="s">
        <v>44</v>
      </c>
      <c r="N753" s="4" t="s">
        <v>27</v>
      </c>
      <c r="O753" s="4" t="s">
        <v>28</v>
      </c>
    </row>
    <row r="754" spans="2:15" ht="21" customHeight="1" x14ac:dyDescent="0.3">
      <c r="B754" s="11" t="s">
        <v>14</v>
      </c>
      <c r="C754" s="12">
        <v>11</v>
      </c>
      <c r="D754" s="13" t="s">
        <v>61</v>
      </c>
      <c r="E754" s="11" t="s">
        <v>16</v>
      </c>
      <c r="F754" s="11" t="s">
        <v>46</v>
      </c>
      <c r="G754" s="14">
        <v>2</v>
      </c>
      <c r="H754" s="15">
        <v>12000000</v>
      </c>
      <c r="I754" s="11">
        <v>4</v>
      </c>
      <c r="J754" s="16">
        <v>3.2407407407407406E-3</v>
      </c>
      <c r="K754" s="11" t="s">
        <v>18</v>
      </c>
      <c r="L754" s="11" t="s">
        <v>19</v>
      </c>
      <c r="M754" s="11" t="s">
        <v>47</v>
      </c>
      <c r="N754" s="11" t="s">
        <v>39</v>
      </c>
      <c r="O754" s="11" t="s">
        <v>40</v>
      </c>
    </row>
    <row r="755" spans="2:15" ht="21" customHeight="1" x14ac:dyDescent="0.3">
      <c r="B755" s="4" t="s">
        <v>14</v>
      </c>
      <c r="C755" s="5">
        <v>1</v>
      </c>
      <c r="D755" s="6" t="s">
        <v>63</v>
      </c>
      <c r="E755" s="4" t="s">
        <v>34</v>
      </c>
      <c r="F755" s="4" t="s">
        <v>24</v>
      </c>
      <c r="G755" s="7">
        <v>2</v>
      </c>
      <c r="H755" s="1">
        <v>12000000</v>
      </c>
      <c r="I755" s="4">
        <v>2</v>
      </c>
      <c r="J755" s="8">
        <v>3.2407407407407406E-3</v>
      </c>
      <c r="K755" s="4" t="s">
        <v>18</v>
      </c>
      <c r="L755" s="4" t="s">
        <v>31</v>
      </c>
      <c r="M755" s="4" t="s">
        <v>55</v>
      </c>
      <c r="N755" s="4" t="s">
        <v>39</v>
      </c>
      <c r="O755" s="4" t="s">
        <v>71</v>
      </c>
    </row>
    <row r="756" spans="2:15" ht="21" customHeight="1" x14ac:dyDescent="0.3">
      <c r="B756" s="11" t="s">
        <v>14</v>
      </c>
      <c r="C756" s="12">
        <v>9</v>
      </c>
      <c r="D756" s="13" t="s">
        <v>29</v>
      </c>
      <c r="E756" s="11" t="s">
        <v>34</v>
      </c>
      <c r="F756" s="11" t="s">
        <v>24</v>
      </c>
      <c r="G756" s="14">
        <v>2</v>
      </c>
      <c r="H756" s="15">
        <v>38000000</v>
      </c>
      <c r="I756" s="11">
        <v>5</v>
      </c>
      <c r="J756" s="16">
        <v>3.2407407407407406E-3</v>
      </c>
      <c r="K756" s="11" t="s">
        <v>50</v>
      </c>
      <c r="L756" s="11" t="s">
        <v>19</v>
      </c>
      <c r="M756" s="11" t="s">
        <v>52</v>
      </c>
      <c r="N756" s="11" t="s">
        <v>27</v>
      </c>
      <c r="O756" s="11" t="s">
        <v>33</v>
      </c>
    </row>
    <row r="757" spans="2:15" ht="21" customHeight="1" x14ac:dyDescent="0.3">
      <c r="B757" s="4" t="s">
        <v>14</v>
      </c>
      <c r="C757" s="5">
        <v>11</v>
      </c>
      <c r="D757" s="6" t="s">
        <v>29</v>
      </c>
      <c r="E757" s="4" t="s">
        <v>34</v>
      </c>
      <c r="F757" s="4" t="s">
        <v>46</v>
      </c>
      <c r="G757" s="7">
        <v>2</v>
      </c>
      <c r="H757" s="1">
        <v>12000000</v>
      </c>
      <c r="I757" s="4">
        <v>5</v>
      </c>
      <c r="J757" s="8">
        <v>3.2407407407407406E-3</v>
      </c>
      <c r="K757" s="4" t="s">
        <v>18</v>
      </c>
      <c r="L757" s="4" t="s">
        <v>54</v>
      </c>
      <c r="M757" s="4" t="s">
        <v>20</v>
      </c>
      <c r="N757" s="4" t="s">
        <v>21</v>
      </c>
      <c r="O757" s="4" t="s">
        <v>67</v>
      </c>
    </row>
    <row r="758" spans="2:15" ht="21" customHeight="1" x14ac:dyDescent="0.3">
      <c r="B758" s="11" t="s">
        <v>14</v>
      </c>
      <c r="C758" s="12">
        <v>22</v>
      </c>
      <c r="D758" s="13" t="s">
        <v>29</v>
      </c>
      <c r="E758" s="11" t="s">
        <v>53</v>
      </c>
      <c r="F758" s="11" t="s">
        <v>46</v>
      </c>
      <c r="G758" s="14">
        <v>3</v>
      </c>
      <c r="H758" s="15">
        <v>15000000</v>
      </c>
      <c r="I758" s="11">
        <v>4</v>
      </c>
      <c r="J758" s="16">
        <v>3.2407407407407406E-3</v>
      </c>
      <c r="K758" s="11" t="s">
        <v>18</v>
      </c>
      <c r="L758" s="11" t="s">
        <v>60</v>
      </c>
      <c r="M758" s="11" t="s">
        <v>32</v>
      </c>
      <c r="N758" s="11" t="s">
        <v>36</v>
      </c>
      <c r="O758" s="11" t="s">
        <v>69</v>
      </c>
    </row>
    <row r="759" spans="2:15" ht="21" customHeight="1" x14ac:dyDescent="0.3">
      <c r="B759" s="4" t="s">
        <v>14</v>
      </c>
      <c r="C759" s="5">
        <v>30</v>
      </c>
      <c r="D759" s="6" t="s">
        <v>29</v>
      </c>
      <c r="E759" s="4" t="s">
        <v>53</v>
      </c>
      <c r="F759" s="4" t="s">
        <v>24</v>
      </c>
      <c r="G759" s="7">
        <v>3</v>
      </c>
      <c r="H759" s="1">
        <v>15000000</v>
      </c>
      <c r="I759" s="4">
        <v>3</v>
      </c>
      <c r="J759" s="8">
        <v>3.2407407407407406E-3</v>
      </c>
      <c r="K759" s="4" t="s">
        <v>18</v>
      </c>
      <c r="L759" s="4" t="s">
        <v>31</v>
      </c>
      <c r="M759" s="4" t="s">
        <v>26</v>
      </c>
      <c r="N759" s="4" t="s">
        <v>27</v>
      </c>
      <c r="O759" s="4" t="s">
        <v>33</v>
      </c>
    </row>
    <row r="760" spans="2:15" ht="21" customHeight="1" x14ac:dyDescent="0.3">
      <c r="B760" s="11" t="s">
        <v>14</v>
      </c>
      <c r="C760" s="12">
        <v>10</v>
      </c>
      <c r="D760" s="13" t="s">
        <v>41</v>
      </c>
      <c r="E760" s="11" t="s">
        <v>30</v>
      </c>
      <c r="F760" s="11" t="s">
        <v>17</v>
      </c>
      <c r="G760" s="14">
        <v>4</v>
      </c>
      <c r="H760" s="15">
        <v>11000000</v>
      </c>
      <c r="I760" s="11">
        <v>2</v>
      </c>
      <c r="J760" s="16">
        <v>3.2407407407407406E-3</v>
      </c>
      <c r="K760" s="11" t="s">
        <v>65</v>
      </c>
      <c r="L760" s="11" t="s">
        <v>19</v>
      </c>
      <c r="M760" s="11" t="s">
        <v>32</v>
      </c>
      <c r="N760" s="11" t="s">
        <v>27</v>
      </c>
      <c r="O760" s="11" t="s">
        <v>79</v>
      </c>
    </row>
    <row r="761" spans="2:15" ht="21" customHeight="1" x14ac:dyDescent="0.3">
      <c r="B761" s="4" t="s">
        <v>14</v>
      </c>
      <c r="C761" s="5">
        <v>24</v>
      </c>
      <c r="D761" s="6" t="s">
        <v>41</v>
      </c>
      <c r="E761" s="4" t="s">
        <v>16</v>
      </c>
      <c r="F761" s="4" t="s">
        <v>46</v>
      </c>
      <c r="G761" s="7">
        <v>4</v>
      </c>
      <c r="H761" s="1">
        <v>20000000</v>
      </c>
      <c r="I761" s="4">
        <v>1</v>
      </c>
      <c r="J761" s="8">
        <v>3.2407407407407406E-3</v>
      </c>
      <c r="K761" s="4" t="s">
        <v>65</v>
      </c>
      <c r="L761" s="4" t="s">
        <v>19</v>
      </c>
      <c r="M761" s="4" t="s">
        <v>32</v>
      </c>
      <c r="N761" s="4" t="s">
        <v>39</v>
      </c>
      <c r="O761" s="4" t="s">
        <v>40</v>
      </c>
    </row>
    <row r="762" spans="2:15" ht="21" customHeight="1" x14ac:dyDescent="0.3">
      <c r="B762" s="11" t="s">
        <v>14</v>
      </c>
      <c r="C762" s="12">
        <v>26</v>
      </c>
      <c r="D762" s="13" t="s">
        <v>41</v>
      </c>
      <c r="E762" s="11" t="s">
        <v>30</v>
      </c>
      <c r="F762" s="11" t="s">
        <v>46</v>
      </c>
      <c r="G762" s="14">
        <v>5</v>
      </c>
      <c r="H762" s="15">
        <v>20000000</v>
      </c>
      <c r="I762" s="11">
        <v>2</v>
      </c>
      <c r="J762" s="16">
        <v>3.2407407407407406E-3</v>
      </c>
      <c r="K762" s="11" t="s">
        <v>18</v>
      </c>
      <c r="L762" s="11" t="s">
        <v>19</v>
      </c>
      <c r="M762" s="11" t="s">
        <v>32</v>
      </c>
      <c r="N762" s="11" t="s">
        <v>21</v>
      </c>
      <c r="O762" s="11" t="s">
        <v>45</v>
      </c>
    </row>
    <row r="763" spans="2:15" ht="21" customHeight="1" x14ac:dyDescent="0.3">
      <c r="B763" s="4" t="s">
        <v>14</v>
      </c>
      <c r="C763" s="5">
        <v>1</v>
      </c>
      <c r="D763" s="6" t="s">
        <v>41</v>
      </c>
      <c r="E763" s="4" t="s">
        <v>34</v>
      </c>
      <c r="F763" s="4" t="s">
        <v>49</v>
      </c>
      <c r="G763" s="7">
        <v>4</v>
      </c>
      <c r="H763" s="1">
        <v>20000000</v>
      </c>
      <c r="I763" s="4">
        <v>2</v>
      </c>
      <c r="J763" s="8">
        <v>3.2407407407407406E-3</v>
      </c>
      <c r="K763" s="4" t="s">
        <v>18</v>
      </c>
      <c r="L763" s="4" t="s">
        <v>43</v>
      </c>
      <c r="M763" s="4" t="s">
        <v>35</v>
      </c>
      <c r="N763" s="4" t="s">
        <v>21</v>
      </c>
      <c r="O763" s="4" t="s">
        <v>67</v>
      </c>
    </row>
    <row r="764" spans="2:15" ht="21" customHeight="1" x14ac:dyDescent="0.3">
      <c r="B764" s="11" t="s">
        <v>14</v>
      </c>
      <c r="C764" s="12">
        <v>30</v>
      </c>
      <c r="D764" s="13" t="s">
        <v>41</v>
      </c>
      <c r="E764" s="11" t="s">
        <v>53</v>
      </c>
      <c r="F764" s="11" t="s">
        <v>49</v>
      </c>
      <c r="G764" s="14">
        <v>1</v>
      </c>
      <c r="H764" s="15">
        <v>7000000</v>
      </c>
      <c r="I764" s="11">
        <v>3</v>
      </c>
      <c r="J764" s="16">
        <v>3.2407407407407406E-3</v>
      </c>
      <c r="K764" s="11" t="s">
        <v>18</v>
      </c>
      <c r="L764" s="11" t="s">
        <v>51</v>
      </c>
      <c r="M764" s="11" t="s">
        <v>35</v>
      </c>
      <c r="N764" s="11" t="s">
        <v>36</v>
      </c>
      <c r="O764" s="11" t="s">
        <v>58</v>
      </c>
    </row>
    <row r="765" spans="2:15" ht="21" customHeight="1" x14ac:dyDescent="0.3">
      <c r="B765" s="4" t="s">
        <v>14</v>
      </c>
      <c r="C765" s="5">
        <v>8</v>
      </c>
      <c r="D765" s="6" t="s">
        <v>41</v>
      </c>
      <c r="E765" s="4" t="s">
        <v>34</v>
      </c>
      <c r="F765" s="4" t="s">
        <v>24</v>
      </c>
      <c r="G765" s="7">
        <v>5</v>
      </c>
      <c r="H765" s="1">
        <v>25000000</v>
      </c>
      <c r="I765" s="4">
        <v>4</v>
      </c>
      <c r="J765" s="8">
        <v>3.2407407407407406E-3</v>
      </c>
      <c r="K765" s="4" t="s">
        <v>18</v>
      </c>
      <c r="L765" s="4" t="s">
        <v>25</v>
      </c>
      <c r="M765" s="4" t="s">
        <v>20</v>
      </c>
      <c r="N765" s="4" t="s">
        <v>36</v>
      </c>
      <c r="O765" s="4" t="s">
        <v>69</v>
      </c>
    </row>
    <row r="766" spans="2:15" ht="21" customHeight="1" x14ac:dyDescent="0.3">
      <c r="B766" s="11" t="s">
        <v>14</v>
      </c>
      <c r="C766" s="12">
        <v>11</v>
      </c>
      <c r="D766" s="13" t="s">
        <v>41</v>
      </c>
      <c r="E766" s="11" t="s">
        <v>16</v>
      </c>
      <c r="F766" s="11" t="s">
        <v>46</v>
      </c>
      <c r="G766" s="14">
        <v>3</v>
      </c>
      <c r="H766" s="15">
        <v>15000000</v>
      </c>
      <c r="I766" s="11">
        <v>3</v>
      </c>
      <c r="J766" s="16">
        <v>3.2407407407407406E-3</v>
      </c>
      <c r="K766" s="11" t="s">
        <v>18</v>
      </c>
      <c r="L766" s="11" t="s">
        <v>43</v>
      </c>
      <c r="M766" s="11" t="s">
        <v>26</v>
      </c>
      <c r="N766" s="11" t="s">
        <v>21</v>
      </c>
      <c r="O766" s="11" t="s">
        <v>67</v>
      </c>
    </row>
    <row r="767" spans="2:15" ht="21" customHeight="1" x14ac:dyDescent="0.3">
      <c r="B767" s="4" t="s">
        <v>14</v>
      </c>
      <c r="C767" s="5">
        <v>11</v>
      </c>
      <c r="D767" s="6" t="s">
        <v>41</v>
      </c>
      <c r="E767" s="4" t="s">
        <v>42</v>
      </c>
      <c r="F767" s="4" t="s">
        <v>46</v>
      </c>
      <c r="G767" s="7">
        <v>3</v>
      </c>
      <c r="H767" s="1">
        <v>15000000</v>
      </c>
      <c r="I767" s="4">
        <v>1</v>
      </c>
      <c r="J767" s="8">
        <v>3.2407407407407406E-3</v>
      </c>
      <c r="K767" s="4" t="s">
        <v>18</v>
      </c>
      <c r="L767" s="4" t="s">
        <v>38</v>
      </c>
      <c r="M767" s="4" t="s">
        <v>52</v>
      </c>
      <c r="N767" s="4" t="s">
        <v>21</v>
      </c>
      <c r="O767" s="4" t="s">
        <v>45</v>
      </c>
    </row>
    <row r="768" spans="2:15" ht="21" customHeight="1" x14ac:dyDescent="0.3">
      <c r="B768" s="11" t="s">
        <v>14</v>
      </c>
      <c r="C768" s="12">
        <v>9</v>
      </c>
      <c r="D768" s="13" t="s">
        <v>48</v>
      </c>
      <c r="E768" s="11" t="s">
        <v>42</v>
      </c>
      <c r="F768" s="11" t="s">
        <v>24</v>
      </c>
      <c r="G768" s="14">
        <v>1</v>
      </c>
      <c r="H768" s="15">
        <v>19000000</v>
      </c>
      <c r="I768" s="11">
        <v>5</v>
      </c>
      <c r="J768" s="16">
        <v>3.2407407407407406E-3</v>
      </c>
      <c r="K768" s="11" t="s">
        <v>50</v>
      </c>
      <c r="L768" s="11" t="s">
        <v>31</v>
      </c>
      <c r="M768" s="11" t="s">
        <v>55</v>
      </c>
      <c r="N768" s="11" t="s">
        <v>36</v>
      </c>
      <c r="O768" s="11" t="s">
        <v>58</v>
      </c>
    </row>
    <row r="769" spans="2:15" ht="21" customHeight="1" x14ac:dyDescent="0.3">
      <c r="B769" s="4" t="s">
        <v>14</v>
      </c>
      <c r="C769" s="5">
        <v>22</v>
      </c>
      <c r="D769" s="6" t="s">
        <v>48</v>
      </c>
      <c r="E769" s="4" t="s">
        <v>34</v>
      </c>
      <c r="F769" s="4" t="s">
        <v>46</v>
      </c>
      <c r="G769" s="7">
        <v>1</v>
      </c>
      <c r="H769" s="1">
        <v>19000000</v>
      </c>
      <c r="I769" s="4">
        <v>1</v>
      </c>
      <c r="J769" s="8">
        <v>3.2407407407407406E-3</v>
      </c>
      <c r="K769" s="4" t="s">
        <v>50</v>
      </c>
      <c r="L769" s="4" t="s">
        <v>68</v>
      </c>
      <c r="M769" s="4" t="s">
        <v>55</v>
      </c>
      <c r="N769" s="4" t="s">
        <v>27</v>
      </c>
      <c r="O769" s="4" t="s">
        <v>33</v>
      </c>
    </row>
    <row r="770" spans="2:15" ht="21" customHeight="1" x14ac:dyDescent="0.3">
      <c r="B770" s="11" t="s">
        <v>14</v>
      </c>
      <c r="C770" s="12">
        <v>12</v>
      </c>
      <c r="D770" s="13" t="s">
        <v>48</v>
      </c>
      <c r="E770" s="11" t="s">
        <v>30</v>
      </c>
      <c r="F770" s="11" t="s">
        <v>46</v>
      </c>
      <c r="G770" s="14">
        <v>4</v>
      </c>
      <c r="H770" s="15">
        <v>20000000</v>
      </c>
      <c r="I770" s="11">
        <v>2</v>
      </c>
      <c r="J770" s="16">
        <v>3.2407407407407406E-3</v>
      </c>
      <c r="K770" s="11" t="s">
        <v>18</v>
      </c>
      <c r="L770" s="11" t="s">
        <v>31</v>
      </c>
      <c r="M770" s="11" t="s">
        <v>35</v>
      </c>
      <c r="N770" s="11" t="s">
        <v>21</v>
      </c>
      <c r="O770" s="11" t="s">
        <v>57</v>
      </c>
    </row>
    <row r="771" spans="2:15" ht="21" customHeight="1" x14ac:dyDescent="0.3">
      <c r="B771" s="4" t="s">
        <v>14</v>
      </c>
      <c r="C771" s="5">
        <v>22</v>
      </c>
      <c r="D771" s="6" t="s">
        <v>48</v>
      </c>
      <c r="E771" s="4" t="s">
        <v>34</v>
      </c>
      <c r="F771" s="4" t="s">
        <v>46</v>
      </c>
      <c r="G771" s="7">
        <v>3</v>
      </c>
      <c r="H771" s="1">
        <v>15000000</v>
      </c>
      <c r="I771" s="4">
        <v>1</v>
      </c>
      <c r="J771" s="8">
        <v>3.2407407407407406E-3</v>
      </c>
      <c r="K771" s="4" t="s">
        <v>18</v>
      </c>
      <c r="L771" s="4" t="s">
        <v>19</v>
      </c>
      <c r="M771" s="4" t="s">
        <v>52</v>
      </c>
      <c r="N771" s="4" t="s">
        <v>21</v>
      </c>
      <c r="O771" s="4" t="s">
        <v>67</v>
      </c>
    </row>
    <row r="772" spans="2:15" ht="21" customHeight="1" x14ac:dyDescent="0.3">
      <c r="B772" s="11" t="s">
        <v>14</v>
      </c>
      <c r="C772" s="12">
        <v>16</v>
      </c>
      <c r="D772" s="13" t="s">
        <v>59</v>
      </c>
      <c r="E772" s="11" t="s">
        <v>34</v>
      </c>
      <c r="F772" s="11" t="s">
        <v>24</v>
      </c>
      <c r="G772" s="14">
        <v>2</v>
      </c>
      <c r="H772" s="15">
        <v>12000000</v>
      </c>
      <c r="I772" s="11">
        <v>1</v>
      </c>
      <c r="J772" s="16">
        <v>3.2407407407407406E-3</v>
      </c>
      <c r="K772" s="11" t="s">
        <v>18</v>
      </c>
      <c r="L772" s="11" t="s">
        <v>31</v>
      </c>
      <c r="M772" s="11" t="s">
        <v>44</v>
      </c>
      <c r="N772" s="11" t="s">
        <v>27</v>
      </c>
      <c r="O772" s="11" t="s">
        <v>28</v>
      </c>
    </row>
    <row r="773" spans="2:15" ht="21" customHeight="1" x14ac:dyDescent="0.3">
      <c r="B773" s="4" t="s">
        <v>14</v>
      </c>
      <c r="C773" s="5">
        <v>11</v>
      </c>
      <c r="D773" s="6" t="s">
        <v>61</v>
      </c>
      <c r="E773" s="4" t="s">
        <v>16</v>
      </c>
      <c r="F773" s="4" t="s">
        <v>46</v>
      </c>
      <c r="G773" s="7">
        <v>2</v>
      </c>
      <c r="H773" s="1">
        <v>12000000</v>
      </c>
      <c r="I773" s="4">
        <v>4</v>
      </c>
      <c r="J773" s="8">
        <v>3.2407407407407406E-3</v>
      </c>
      <c r="K773" s="4" t="s">
        <v>18</v>
      </c>
      <c r="L773" s="4" t="s">
        <v>19</v>
      </c>
      <c r="M773" s="4" t="s">
        <v>47</v>
      </c>
      <c r="N773" s="4" t="s">
        <v>39</v>
      </c>
      <c r="O773" s="4" t="s">
        <v>40</v>
      </c>
    </row>
    <row r="774" spans="2:15" ht="21" customHeight="1" x14ac:dyDescent="0.3">
      <c r="B774" s="11" t="s">
        <v>14</v>
      </c>
      <c r="C774" s="12">
        <v>1</v>
      </c>
      <c r="D774" s="13" t="s">
        <v>63</v>
      </c>
      <c r="E774" s="11" t="s">
        <v>34</v>
      </c>
      <c r="F774" s="11" t="s">
        <v>24</v>
      </c>
      <c r="G774" s="14">
        <v>2</v>
      </c>
      <c r="H774" s="15">
        <v>12000000</v>
      </c>
      <c r="I774" s="11">
        <v>2</v>
      </c>
      <c r="J774" s="16">
        <v>3.2407407407407406E-3</v>
      </c>
      <c r="K774" s="11" t="s">
        <v>18</v>
      </c>
      <c r="L774" s="11" t="s">
        <v>31</v>
      </c>
      <c r="M774" s="11" t="s">
        <v>55</v>
      </c>
      <c r="N774" s="11" t="s">
        <v>39</v>
      </c>
      <c r="O774" s="11" t="s">
        <v>71</v>
      </c>
    </row>
    <row r="775" spans="2:15" ht="21" customHeight="1" x14ac:dyDescent="0.3">
      <c r="B775" s="4" t="s">
        <v>74</v>
      </c>
      <c r="C775" s="5">
        <v>15</v>
      </c>
      <c r="D775" s="6" t="s">
        <v>62</v>
      </c>
      <c r="E775" s="4" t="s">
        <v>42</v>
      </c>
      <c r="F775" s="4" t="s">
        <v>17</v>
      </c>
      <c r="G775" s="7">
        <v>0</v>
      </c>
      <c r="H775" s="1">
        <v>0</v>
      </c>
      <c r="I775" s="4">
        <v>2</v>
      </c>
      <c r="J775" s="8">
        <v>3.2407407407407406E-3</v>
      </c>
      <c r="K775" s="4"/>
      <c r="L775" s="4"/>
      <c r="M775" s="4" t="s">
        <v>47</v>
      </c>
      <c r="N775" s="4" t="s">
        <v>27</v>
      </c>
      <c r="O775" s="4" t="s">
        <v>28</v>
      </c>
    </row>
    <row r="776" spans="2:15" ht="21" customHeight="1" x14ac:dyDescent="0.3">
      <c r="B776" s="11" t="s">
        <v>74</v>
      </c>
      <c r="C776" s="12">
        <v>11</v>
      </c>
      <c r="D776" s="13" t="s">
        <v>63</v>
      </c>
      <c r="E776" s="11" t="s">
        <v>16</v>
      </c>
      <c r="F776" s="11" t="s">
        <v>46</v>
      </c>
      <c r="G776" s="14">
        <v>0</v>
      </c>
      <c r="H776" s="15">
        <v>0</v>
      </c>
      <c r="I776" s="11">
        <v>5</v>
      </c>
      <c r="J776" s="16">
        <v>3.2407407407407406E-3</v>
      </c>
      <c r="K776" s="11"/>
      <c r="L776" s="11"/>
      <c r="M776" s="11" t="s">
        <v>35</v>
      </c>
      <c r="N776" s="11" t="s">
        <v>39</v>
      </c>
      <c r="O776" s="11" t="s">
        <v>71</v>
      </c>
    </row>
    <row r="777" spans="2:15" ht="21" customHeight="1" x14ac:dyDescent="0.3">
      <c r="B777" s="4" t="s">
        <v>74</v>
      </c>
      <c r="C777" s="5">
        <v>14</v>
      </c>
      <c r="D777" s="6" t="s">
        <v>23</v>
      </c>
      <c r="E777" s="4" t="s">
        <v>30</v>
      </c>
      <c r="F777" s="4" t="s">
        <v>46</v>
      </c>
      <c r="G777" s="7">
        <v>0</v>
      </c>
      <c r="H777" s="1">
        <v>0</v>
      </c>
      <c r="I777" s="4">
        <v>4</v>
      </c>
      <c r="J777" s="8">
        <v>3.2407407407407406E-3</v>
      </c>
      <c r="K777" s="4"/>
      <c r="L777" s="4"/>
      <c r="M777" s="4" t="s">
        <v>47</v>
      </c>
      <c r="N777" s="4" t="s">
        <v>21</v>
      </c>
      <c r="O777" s="4" t="s">
        <v>45</v>
      </c>
    </row>
    <row r="778" spans="2:15" ht="21" customHeight="1" x14ac:dyDescent="0.3">
      <c r="B778" s="11" t="s">
        <v>74</v>
      </c>
      <c r="C778" s="12">
        <v>24</v>
      </c>
      <c r="D778" s="13" t="s">
        <v>29</v>
      </c>
      <c r="E778" s="11" t="s">
        <v>77</v>
      </c>
      <c r="F778" s="11" t="s">
        <v>46</v>
      </c>
      <c r="G778" s="14">
        <v>0</v>
      </c>
      <c r="H778" s="15">
        <v>0</v>
      </c>
      <c r="I778" s="11">
        <v>3</v>
      </c>
      <c r="J778" s="16">
        <v>3.2407407407407406E-3</v>
      </c>
      <c r="K778" s="11"/>
      <c r="L778" s="11"/>
      <c r="M778" s="11" t="s">
        <v>20</v>
      </c>
      <c r="N778" s="11" t="s">
        <v>21</v>
      </c>
      <c r="O778" s="11" t="s">
        <v>67</v>
      </c>
    </row>
    <row r="779" spans="2:15" ht="21" customHeight="1" x14ac:dyDescent="0.3">
      <c r="B779" s="4" t="s">
        <v>74</v>
      </c>
      <c r="C779" s="5">
        <v>1</v>
      </c>
      <c r="D779" s="6" t="s">
        <v>41</v>
      </c>
      <c r="E779" s="4" t="s">
        <v>16</v>
      </c>
      <c r="F779" s="4" t="s">
        <v>46</v>
      </c>
      <c r="G779" s="7">
        <v>0</v>
      </c>
      <c r="H779" s="1">
        <v>0</v>
      </c>
      <c r="I779" s="4">
        <v>1</v>
      </c>
      <c r="J779" s="8">
        <v>3.2407407407407406E-3</v>
      </c>
      <c r="K779" s="4"/>
      <c r="L779" s="4"/>
      <c r="M779" s="4" t="s">
        <v>47</v>
      </c>
      <c r="N779" s="4" t="s">
        <v>27</v>
      </c>
      <c r="O779" s="4" t="s">
        <v>56</v>
      </c>
    </row>
    <row r="780" spans="2:15" ht="21" customHeight="1" x14ac:dyDescent="0.3">
      <c r="B780" s="11" t="s">
        <v>74</v>
      </c>
      <c r="C780" s="12">
        <v>19</v>
      </c>
      <c r="D780" s="13" t="s">
        <v>73</v>
      </c>
      <c r="E780" s="11" t="s">
        <v>34</v>
      </c>
      <c r="F780" s="11" t="s">
        <v>46</v>
      </c>
      <c r="G780" s="14">
        <v>0</v>
      </c>
      <c r="H780" s="15">
        <v>0</v>
      </c>
      <c r="I780" s="11">
        <v>2</v>
      </c>
      <c r="J780" s="16">
        <v>3.2407407407407406E-3</v>
      </c>
      <c r="K780" s="11"/>
      <c r="L780" s="11"/>
      <c r="M780" s="11" t="s">
        <v>32</v>
      </c>
      <c r="N780" s="11" t="s">
        <v>39</v>
      </c>
      <c r="O780" s="11" t="s">
        <v>71</v>
      </c>
    </row>
    <row r="781" spans="2:15" ht="21" customHeight="1" x14ac:dyDescent="0.3">
      <c r="B781" s="4" t="s">
        <v>74</v>
      </c>
      <c r="C781" s="5">
        <v>15</v>
      </c>
      <c r="D781" s="6" t="s">
        <v>62</v>
      </c>
      <c r="E781" s="4" t="s">
        <v>42</v>
      </c>
      <c r="F781" s="4" t="s">
        <v>17</v>
      </c>
      <c r="G781" s="7">
        <v>0</v>
      </c>
      <c r="H781" s="1">
        <v>0</v>
      </c>
      <c r="I781" s="4">
        <v>2</v>
      </c>
      <c r="J781" s="8">
        <v>3.2407407407407406E-3</v>
      </c>
      <c r="K781" s="4"/>
      <c r="L781" s="4"/>
      <c r="M781" s="4" t="s">
        <v>47</v>
      </c>
      <c r="N781" s="4" t="s">
        <v>27</v>
      </c>
      <c r="O781" s="4" t="s">
        <v>28</v>
      </c>
    </row>
    <row r="782" spans="2:15" ht="21" customHeight="1" x14ac:dyDescent="0.3">
      <c r="B782" s="11" t="s">
        <v>74</v>
      </c>
      <c r="C782" s="12">
        <v>11</v>
      </c>
      <c r="D782" s="13" t="s">
        <v>63</v>
      </c>
      <c r="E782" s="11" t="s">
        <v>16</v>
      </c>
      <c r="F782" s="11" t="s">
        <v>46</v>
      </c>
      <c r="G782" s="14">
        <v>0</v>
      </c>
      <c r="H782" s="15">
        <v>0</v>
      </c>
      <c r="I782" s="11">
        <v>5</v>
      </c>
      <c r="J782" s="16">
        <v>3.2407407407407406E-3</v>
      </c>
      <c r="K782" s="11"/>
      <c r="L782" s="11"/>
      <c r="M782" s="11" t="s">
        <v>35</v>
      </c>
      <c r="N782" s="11" t="s">
        <v>39</v>
      </c>
      <c r="O782" s="11" t="s">
        <v>71</v>
      </c>
    </row>
    <row r="783" spans="2:15" ht="21" customHeight="1" x14ac:dyDescent="0.3">
      <c r="B783" s="4" t="s">
        <v>14</v>
      </c>
      <c r="C783" s="5">
        <v>19</v>
      </c>
      <c r="D783" s="6" t="s">
        <v>23</v>
      </c>
      <c r="E783" s="4" t="s">
        <v>30</v>
      </c>
      <c r="F783" s="4" t="s">
        <v>49</v>
      </c>
      <c r="G783" s="7">
        <v>1</v>
      </c>
      <c r="H783" s="1">
        <v>7000000</v>
      </c>
      <c r="I783" s="4">
        <v>5</v>
      </c>
      <c r="J783" s="8">
        <v>3.2986111111111111E-3</v>
      </c>
      <c r="K783" s="4" t="s">
        <v>18</v>
      </c>
      <c r="L783" s="4" t="s">
        <v>25</v>
      </c>
      <c r="M783" s="4" t="s">
        <v>52</v>
      </c>
      <c r="N783" s="4" t="s">
        <v>21</v>
      </c>
      <c r="O783" s="4" t="s">
        <v>57</v>
      </c>
    </row>
    <row r="784" spans="2:15" ht="21" customHeight="1" x14ac:dyDescent="0.3">
      <c r="B784" s="11" t="s">
        <v>14</v>
      </c>
      <c r="C784" s="12">
        <v>5</v>
      </c>
      <c r="D784" s="13" t="s">
        <v>29</v>
      </c>
      <c r="E784" s="11" t="s">
        <v>34</v>
      </c>
      <c r="F784" s="11" t="s">
        <v>46</v>
      </c>
      <c r="G784" s="14">
        <v>4</v>
      </c>
      <c r="H784" s="15">
        <v>15000000</v>
      </c>
      <c r="I784" s="11">
        <v>3</v>
      </c>
      <c r="J784" s="16">
        <v>3.2986111111111111E-3</v>
      </c>
      <c r="K784" s="11" t="s">
        <v>18</v>
      </c>
      <c r="L784" s="11" t="s">
        <v>19</v>
      </c>
      <c r="M784" s="11" t="s">
        <v>35</v>
      </c>
      <c r="N784" s="11" t="s">
        <v>39</v>
      </c>
      <c r="O784" s="11" t="s">
        <v>71</v>
      </c>
    </row>
    <row r="785" spans="2:15" ht="21" customHeight="1" x14ac:dyDescent="0.3">
      <c r="B785" s="4" t="s">
        <v>14</v>
      </c>
      <c r="C785" s="5">
        <v>11</v>
      </c>
      <c r="D785" s="6" t="s">
        <v>41</v>
      </c>
      <c r="E785" s="4" t="s">
        <v>16</v>
      </c>
      <c r="F785" s="4" t="s">
        <v>49</v>
      </c>
      <c r="G785" s="7">
        <v>2</v>
      </c>
      <c r="H785" s="1">
        <v>38000000</v>
      </c>
      <c r="I785" s="4">
        <v>1</v>
      </c>
      <c r="J785" s="8">
        <v>3.2986111111111111E-3</v>
      </c>
      <c r="K785" s="4" t="s">
        <v>50</v>
      </c>
      <c r="L785" s="4" t="s">
        <v>19</v>
      </c>
      <c r="M785" s="4" t="s">
        <v>44</v>
      </c>
      <c r="N785" s="4" t="s">
        <v>21</v>
      </c>
      <c r="O785" s="4" t="s">
        <v>57</v>
      </c>
    </row>
    <row r="786" spans="2:15" ht="21" customHeight="1" x14ac:dyDescent="0.3">
      <c r="B786" s="11" t="s">
        <v>14</v>
      </c>
      <c r="C786" s="12">
        <v>1</v>
      </c>
      <c r="D786" s="13" t="s">
        <v>41</v>
      </c>
      <c r="E786" s="11" t="s">
        <v>53</v>
      </c>
      <c r="F786" s="11" t="s">
        <v>17</v>
      </c>
      <c r="G786" s="14">
        <v>3</v>
      </c>
      <c r="H786" s="15">
        <v>15000000</v>
      </c>
      <c r="I786" s="11">
        <v>1</v>
      </c>
      <c r="J786" s="16">
        <v>3.2986111111111111E-3</v>
      </c>
      <c r="K786" s="11" t="s">
        <v>18</v>
      </c>
      <c r="L786" s="11" t="s">
        <v>43</v>
      </c>
      <c r="M786" s="11" t="s">
        <v>32</v>
      </c>
      <c r="N786" s="11" t="s">
        <v>39</v>
      </c>
      <c r="O786" s="11" t="s">
        <v>40</v>
      </c>
    </row>
    <row r="787" spans="2:15" ht="21" customHeight="1" x14ac:dyDescent="0.3">
      <c r="B787" s="4" t="s">
        <v>14</v>
      </c>
      <c r="C787" s="5">
        <v>21</v>
      </c>
      <c r="D787" s="6" t="s">
        <v>41</v>
      </c>
      <c r="E787" s="4" t="s">
        <v>30</v>
      </c>
      <c r="F787" s="4" t="s">
        <v>17</v>
      </c>
      <c r="G787" s="7">
        <v>5</v>
      </c>
      <c r="H787" s="1">
        <v>20000000</v>
      </c>
      <c r="I787" s="4">
        <v>5</v>
      </c>
      <c r="J787" s="8">
        <v>3.2986111111111111E-3</v>
      </c>
      <c r="K787" s="4" t="s">
        <v>18</v>
      </c>
      <c r="L787" s="4" t="s">
        <v>60</v>
      </c>
      <c r="M787" s="4" t="s">
        <v>20</v>
      </c>
      <c r="N787" s="4" t="s">
        <v>27</v>
      </c>
      <c r="O787" s="4" t="s">
        <v>33</v>
      </c>
    </row>
    <row r="788" spans="2:15" ht="21" customHeight="1" x14ac:dyDescent="0.3">
      <c r="B788" s="11" t="s">
        <v>14</v>
      </c>
      <c r="C788" s="12">
        <v>27</v>
      </c>
      <c r="D788" s="13" t="s">
        <v>48</v>
      </c>
      <c r="E788" s="11" t="s">
        <v>42</v>
      </c>
      <c r="F788" s="11" t="s">
        <v>46</v>
      </c>
      <c r="G788" s="14">
        <v>3</v>
      </c>
      <c r="H788" s="15">
        <v>11000000</v>
      </c>
      <c r="I788" s="11">
        <v>3</v>
      </c>
      <c r="J788" s="16">
        <v>3.2986111111111111E-3</v>
      </c>
      <c r="K788" s="11" t="s">
        <v>18</v>
      </c>
      <c r="L788" s="11" t="s">
        <v>60</v>
      </c>
      <c r="M788" s="11" t="s">
        <v>52</v>
      </c>
      <c r="N788" s="11" t="s">
        <v>36</v>
      </c>
      <c r="O788" s="11" t="s">
        <v>37</v>
      </c>
    </row>
    <row r="789" spans="2:15" ht="21" customHeight="1" x14ac:dyDescent="0.3">
      <c r="B789" s="4" t="s">
        <v>14</v>
      </c>
      <c r="C789" s="5">
        <v>28</v>
      </c>
      <c r="D789" s="6" t="s">
        <v>48</v>
      </c>
      <c r="E789" s="4" t="s">
        <v>42</v>
      </c>
      <c r="F789" s="4" t="s">
        <v>24</v>
      </c>
      <c r="G789" s="7">
        <v>2</v>
      </c>
      <c r="H789" s="1">
        <v>12000000</v>
      </c>
      <c r="I789" s="4">
        <v>3</v>
      </c>
      <c r="J789" s="8">
        <v>3.2986111111111111E-3</v>
      </c>
      <c r="K789" s="4" t="s">
        <v>18</v>
      </c>
      <c r="L789" s="4" t="s">
        <v>43</v>
      </c>
      <c r="M789" s="4" t="s">
        <v>55</v>
      </c>
      <c r="N789" s="4" t="s">
        <v>21</v>
      </c>
      <c r="O789" s="4" t="s">
        <v>66</v>
      </c>
    </row>
    <row r="790" spans="2:15" ht="21" customHeight="1" x14ac:dyDescent="0.3">
      <c r="B790" s="11" t="s">
        <v>14</v>
      </c>
      <c r="C790" s="12">
        <v>11</v>
      </c>
      <c r="D790" s="13" t="s">
        <v>73</v>
      </c>
      <c r="E790" s="11" t="s">
        <v>42</v>
      </c>
      <c r="F790" s="11" t="s">
        <v>24</v>
      </c>
      <c r="G790" s="14">
        <v>1</v>
      </c>
      <c r="H790" s="15">
        <v>19000000</v>
      </c>
      <c r="I790" s="11">
        <v>1</v>
      </c>
      <c r="J790" s="16">
        <v>3.2986111111111111E-3</v>
      </c>
      <c r="K790" s="11" t="s">
        <v>50</v>
      </c>
      <c r="L790" s="11" t="s">
        <v>31</v>
      </c>
      <c r="M790" s="11" t="s">
        <v>32</v>
      </c>
      <c r="N790" s="11" t="s">
        <v>21</v>
      </c>
      <c r="O790" s="11" t="s">
        <v>70</v>
      </c>
    </row>
    <row r="791" spans="2:15" ht="21" customHeight="1" x14ac:dyDescent="0.3">
      <c r="B791" s="4" t="s">
        <v>14</v>
      </c>
      <c r="C791" s="5">
        <v>25</v>
      </c>
      <c r="D791" s="6" t="s">
        <v>73</v>
      </c>
      <c r="E791" s="4" t="s">
        <v>16</v>
      </c>
      <c r="F791" s="4" t="s">
        <v>24</v>
      </c>
      <c r="G791" s="7">
        <v>2</v>
      </c>
      <c r="H791" s="1">
        <v>12000000</v>
      </c>
      <c r="I791" s="4">
        <v>1</v>
      </c>
      <c r="J791" s="8">
        <v>3.2986111111111111E-3</v>
      </c>
      <c r="K791" s="4" t="s">
        <v>18</v>
      </c>
      <c r="L791" s="4" t="s">
        <v>60</v>
      </c>
      <c r="M791" s="4" t="s">
        <v>47</v>
      </c>
      <c r="N791" s="4" t="s">
        <v>36</v>
      </c>
      <c r="O791" s="4" t="s">
        <v>58</v>
      </c>
    </row>
    <row r="792" spans="2:15" ht="21" customHeight="1" x14ac:dyDescent="0.3">
      <c r="B792" s="11" t="s">
        <v>14</v>
      </c>
      <c r="C792" s="12">
        <v>23</v>
      </c>
      <c r="D792" s="13" t="s">
        <v>73</v>
      </c>
      <c r="E792" s="11" t="s">
        <v>16</v>
      </c>
      <c r="F792" s="11" t="s">
        <v>17</v>
      </c>
      <c r="G792" s="14">
        <v>2</v>
      </c>
      <c r="H792" s="15">
        <v>12000000</v>
      </c>
      <c r="I792" s="11">
        <v>1</v>
      </c>
      <c r="J792" s="16">
        <v>3.2986111111111111E-3</v>
      </c>
      <c r="K792" s="11" t="s">
        <v>18</v>
      </c>
      <c r="L792" s="11" t="s">
        <v>68</v>
      </c>
      <c r="M792" s="11" t="s">
        <v>52</v>
      </c>
      <c r="N792" s="11" t="s">
        <v>27</v>
      </c>
      <c r="O792" s="11" t="s">
        <v>28</v>
      </c>
    </row>
    <row r="793" spans="2:15" ht="21" customHeight="1" x14ac:dyDescent="0.3">
      <c r="B793" s="4" t="s">
        <v>14</v>
      </c>
      <c r="C793" s="5">
        <v>19</v>
      </c>
      <c r="D793" s="6" t="s">
        <v>23</v>
      </c>
      <c r="E793" s="4" t="s">
        <v>30</v>
      </c>
      <c r="F793" s="4" t="s">
        <v>49</v>
      </c>
      <c r="G793" s="7">
        <v>1</v>
      </c>
      <c r="H793" s="1">
        <v>7000000</v>
      </c>
      <c r="I793" s="4">
        <v>5</v>
      </c>
      <c r="J793" s="8">
        <v>3.2986111111111111E-3</v>
      </c>
      <c r="K793" s="4" t="s">
        <v>18</v>
      </c>
      <c r="L793" s="4" t="s">
        <v>25</v>
      </c>
      <c r="M793" s="4" t="s">
        <v>52</v>
      </c>
      <c r="N793" s="4" t="s">
        <v>21</v>
      </c>
      <c r="O793" s="4" t="s">
        <v>57</v>
      </c>
    </row>
    <row r="794" spans="2:15" ht="21" customHeight="1" x14ac:dyDescent="0.3">
      <c r="B794" s="11" t="s">
        <v>74</v>
      </c>
      <c r="C794" s="12">
        <v>11</v>
      </c>
      <c r="D794" s="13" t="s">
        <v>59</v>
      </c>
      <c r="E794" s="11" t="s">
        <v>42</v>
      </c>
      <c r="F794" s="11" t="s">
        <v>24</v>
      </c>
      <c r="G794" s="14">
        <v>0</v>
      </c>
      <c r="H794" s="15">
        <v>0</v>
      </c>
      <c r="I794" s="11">
        <v>4</v>
      </c>
      <c r="J794" s="16">
        <v>3.2986111111111111E-3</v>
      </c>
      <c r="K794" s="11"/>
      <c r="L794" s="11"/>
      <c r="M794" s="11" t="s">
        <v>32</v>
      </c>
      <c r="N794" s="11" t="s">
        <v>36</v>
      </c>
      <c r="O794" s="11" t="s">
        <v>69</v>
      </c>
    </row>
    <row r="795" spans="2:15" ht="21" customHeight="1" x14ac:dyDescent="0.3">
      <c r="B795" s="4" t="s">
        <v>74</v>
      </c>
      <c r="C795" s="5">
        <v>19</v>
      </c>
      <c r="D795" s="6" t="s">
        <v>29</v>
      </c>
      <c r="E795" s="4" t="s">
        <v>16</v>
      </c>
      <c r="F795" s="4" t="s">
        <v>46</v>
      </c>
      <c r="G795" s="7">
        <v>0</v>
      </c>
      <c r="H795" s="1">
        <v>0</v>
      </c>
      <c r="I795" s="4">
        <v>6</v>
      </c>
      <c r="J795" s="8">
        <v>3.2986111111111111E-3</v>
      </c>
      <c r="K795" s="4"/>
      <c r="L795" s="4"/>
      <c r="M795" s="4" t="s">
        <v>32</v>
      </c>
      <c r="N795" s="4" t="s">
        <v>27</v>
      </c>
      <c r="O795" s="4" t="s">
        <v>75</v>
      </c>
    </row>
    <row r="796" spans="2:15" ht="21" customHeight="1" x14ac:dyDescent="0.3">
      <c r="B796" s="11" t="s">
        <v>74</v>
      </c>
      <c r="C796" s="12">
        <v>18</v>
      </c>
      <c r="D796" s="13" t="s">
        <v>48</v>
      </c>
      <c r="E796" s="11" t="s">
        <v>77</v>
      </c>
      <c r="F796" s="11" t="s">
        <v>46</v>
      </c>
      <c r="G796" s="14">
        <v>0</v>
      </c>
      <c r="H796" s="15">
        <v>0</v>
      </c>
      <c r="I796" s="11">
        <v>4</v>
      </c>
      <c r="J796" s="16">
        <v>3.2986111111111111E-3</v>
      </c>
      <c r="K796" s="11"/>
      <c r="L796" s="11"/>
      <c r="M796" s="11" t="s">
        <v>55</v>
      </c>
      <c r="N796" s="11" t="s">
        <v>39</v>
      </c>
      <c r="O796" s="11" t="s">
        <v>71</v>
      </c>
    </row>
    <row r="797" spans="2:15" ht="21" customHeight="1" x14ac:dyDescent="0.3">
      <c r="B797" s="4" t="s">
        <v>74</v>
      </c>
      <c r="C797" s="5">
        <v>11</v>
      </c>
      <c r="D797" s="6" t="s">
        <v>59</v>
      </c>
      <c r="E797" s="4" t="s">
        <v>42</v>
      </c>
      <c r="F797" s="4" t="s">
        <v>24</v>
      </c>
      <c r="G797" s="7">
        <v>0</v>
      </c>
      <c r="H797" s="1">
        <v>0</v>
      </c>
      <c r="I797" s="4">
        <v>4</v>
      </c>
      <c r="J797" s="8">
        <v>3.2986111111111111E-3</v>
      </c>
      <c r="K797" s="4"/>
      <c r="L797" s="4"/>
      <c r="M797" s="4" t="s">
        <v>32</v>
      </c>
      <c r="N797" s="4" t="s">
        <v>36</v>
      </c>
      <c r="O797" s="4" t="s">
        <v>69</v>
      </c>
    </row>
    <row r="798" spans="2:15" ht="21" customHeight="1" x14ac:dyDescent="0.3">
      <c r="B798" s="11" t="s">
        <v>14</v>
      </c>
      <c r="C798" s="12">
        <v>13</v>
      </c>
      <c r="D798" s="13" t="s">
        <v>59</v>
      </c>
      <c r="E798" s="11" t="s">
        <v>53</v>
      </c>
      <c r="F798" s="11" t="s">
        <v>46</v>
      </c>
      <c r="G798" s="14">
        <v>2</v>
      </c>
      <c r="H798" s="15">
        <v>12000000</v>
      </c>
      <c r="I798" s="11">
        <v>1</v>
      </c>
      <c r="J798" s="16">
        <v>3.3333333333333335E-3</v>
      </c>
      <c r="K798" s="11" t="s">
        <v>18</v>
      </c>
      <c r="L798" s="11" t="s">
        <v>60</v>
      </c>
      <c r="M798" s="11" t="s">
        <v>32</v>
      </c>
      <c r="N798" s="11" t="s">
        <v>27</v>
      </c>
      <c r="O798" s="11" t="s">
        <v>28</v>
      </c>
    </row>
    <row r="799" spans="2:15" ht="21" customHeight="1" x14ac:dyDescent="0.3">
      <c r="B799" s="4" t="s">
        <v>14</v>
      </c>
      <c r="C799" s="5">
        <v>1</v>
      </c>
      <c r="D799" s="6" t="s">
        <v>63</v>
      </c>
      <c r="E799" s="4" t="s">
        <v>53</v>
      </c>
      <c r="F799" s="4" t="s">
        <v>24</v>
      </c>
      <c r="G799" s="7">
        <v>4</v>
      </c>
      <c r="H799" s="1">
        <v>20000000</v>
      </c>
      <c r="I799" s="4">
        <v>4</v>
      </c>
      <c r="J799" s="8">
        <v>3.3333333333333335E-3</v>
      </c>
      <c r="K799" s="4" t="s">
        <v>65</v>
      </c>
      <c r="L799" s="4" t="s">
        <v>68</v>
      </c>
      <c r="M799" s="4" t="s">
        <v>47</v>
      </c>
      <c r="N799" s="4" t="s">
        <v>21</v>
      </c>
      <c r="O799" s="4" t="s">
        <v>67</v>
      </c>
    </row>
    <row r="800" spans="2:15" ht="21" customHeight="1" x14ac:dyDescent="0.3">
      <c r="B800" s="11" t="s">
        <v>14</v>
      </c>
      <c r="C800" s="12">
        <v>12</v>
      </c>
      <c r="D800" s="13" t="s">
        <v>29</v>
      </c>
      <c r="E800" s="11" t="s">
        <v>53</v>
      </c>
      <c r="F800" s="11" t="s">
        <v>17</v>
      </c>
      <c r="G800" s="14">
        <v>2</v>
      </c>
      <c r="H800" s="15">
        <v>10000000</v>
      </c>
      <c r="I800" s="11">
        <v>5</v>
      </c>
      <c r="J800" s="16">
        <v>3.3333333333333335E-3</v>
      </c>
      <c r="K800" s="11" t="s">
        <v>18</v>
      </c>
      <c r="L800" s="11" t="s">
        <v>38</v>
      </c>
      <c r="M800" s="11" t="s">
        <v>55</v>
      </c>
      <c r="N800" s="11" t="s">
        <v>39</v>
      </c>
      <c r="O800" s="11" t="s">
        <v>71</v>
      </c>
    </row>
    <row r="801" spans="2:15" ht="21" customHeight="1" x14ac:dyDescent="0.3">
      <c r="B801" s="4" t="s">
        <v>14</v>
      </c>
      <c r="C801" s="5">
        <v>13</v>
      </c>
      <c r="D801" s="6" t="s">
        <v>41</v>
      </c>
      <c r="E801" s="4" t="s">
        <v>16</v>
      </c>
      <c r="F801" s="4" t="s">
        <v>24</v>
      </c>
      <c r="G801" s="7">
        <v>1</v>
      </c>
      <c r="H801" s="1">
        <v>19000000</v>
      </c>
      <c r="I801" s="4">
        <v>4</v>
      </c>
      <c r="J801" s="8">
        <v>3.3333333333333335E-3</v>
      </c>
      <c r="K801" s="4" t="s">
        <v>50</v>
      </c>
      <c r="L801" s="4" t="s">
        <v>60</v>
      </c>
      <c r="M801" s="4" t="s">
        <v>35</v>
      </c>
      <c r="N801" s="4" t="s">
        <v>27</v>
      </c>
      <c r="O801" s="4" t="s">
        <v>33</v>
      </c>
    </row>
    <row r="802" spans="2:15" ht="21" customHeight="1" x14ac:dyDescent="0.3">
      <c r="B802" s="11" t="s">
        <v>14</v>
      </c>
      <c r="C802" s="12">
        <v>8</v>
      </c>
      <c r="D802" s="13" t="s">
        <v>41</v>
      </c>
      <c r="E802" s="11" t="s">
        <v>53</v>
      </c>
      <c r="F802" s="11" t="s">
        <v>24</v>
      </c>
      <c r="G802" s="14">
        <v>3</v>
      </c>
      <c r="H802" s="15">
        <v>15000000</v>
      </c>
      <c r="I802" s="11">
        <v>3</v>
      </c>
      <c r="J802" s="16">
        <v>3.3333333333333335E-3</v>
      </c>
      <c r="K802" s="11" t="s">
        <v>18</v>
      </c>
      <c r="L802" s="11" t="s">
        <v>19</v>
      </c>
      <c r="M802" s="11" t="s">
        <v>44</v>
      </c>
      <c r="N802" s="11" t="s">
        <v>21</v>
      </c>
      <c r="O802" s="11" t="s">
        <v>45</v>
      </c>
    </row>
    <row r="803" spans="2:15" ht="21" customHeight="1" x14ac:dyDescent="0.3">
      <c r="B803" s="4" t="s">
        <v>14</v>
      </c>
      <c r="C803" s="5">
        <v>17</v>
      </c>
      <c r="D803" s="6" t="s">
        <v>48</v>
      </c>
      <c r="E803" s="4" t="s">
        <v>16</v>
      </c>
      <c r="F803" s="4" t="s">
        <v>46</v>
      </c>
      <c r="G803" s="7">
        <v>2</v>
      </c>
      <c r="H803" s="1">
        <v>12000000</v>
      </c>
      <c r="I803" s="4">
        <v>3</v>
      </c>
      <c r="J803" s="8">
        <v>3.3333333333333335E-3</v>
      </c>
      <c r="K803" s="4" t="s">
        <v>18</v>
      </c>
      <c r="L803" s="4" t="s">
        <v>31</v>
      </c>
      <c r="M803" s="4" t="s">
        <v>44</v>
      </c>
      <c r="N803" s="4" t="s">
        <v>39</v>
      </c>
      <c r="O803" s="4" t="s">
        <v>71</v>
      </c>
    </row>
    <row r="804" spans="2:15" ht="21" customHeight="1" x14ac:dyDescent="0.3">
      <c r="B804" s="11" t="s">
        <v>14</v>
      </c>
      <c r="C804" s="12">
        <v>12</v>
      </c>
      <c r="D804" s="13" t="s">
        <v>48</v>
      </c>
      <c r="E804" s="11" t="s">
        <v>30</v>
      </c>
      <c r="F804" s="11" t="s">
        <v>46</v>
      </c>
      <c r="G804" s="14">
        <v>3</v>
      </c>
      <c r="H804" s="15">
        <v>15000000</v>
      </c>
      <c r="I804" s="11">
        <v>1</v>
      </c>
      <c r="J804" s="16">
        <v>3.3333333333333335E-3</v>
      </c>
      <c r="K804" s="11" t="s">
        <v>18</v>
      </c>
      <c r="L804" s="11" t="s">
        <v>43</v>
      </c>
      <c r="M804" s="11" t="s">
        <v>52</v>
      </c>
      <c r="N804" s="11" t="s">
        <v>27</v>
      </c>
      <c r="O804" s="11" t="s">
        <v>56</v>
      </c>
    </row>
    <row r="805" spans="2:15" ht="21" customHeight="1" x14ac:dyDescent="0.3">
      <c r="B805" s="4" t="s">
        <v>14</v>
      </c>
      <c r="C805" s="5">
        <v>16</v>
      </c>
      <c r="D805" s="6" t="s">
        <v>73</v>
      </c>
      <c r="E805" s="4" t="s">
        <v>77</v>
      </c>
      <c r="F805" s="4" t="s">
        <v>24</v>
      </c>
      <c r="G805" s="7">
        <v>5</v>
      </c>
      <c r="H805" s="1">
        <v>25000000</v>
      </c>
      <c r="I805" s="4">
        <v>2</v>
      </c>
      <c r="J805" s="8">
        <v>3.3333333333333335E-3</v>
      </c>
      <c r="K805" s="4" t="s">
        <v>18</v>
      </c>
      <c r="L805" s="4" t="s">
        <v>19</v>
      </c>
      <c r="M805" s="4" t="s">
        <v>26</v>
      </c>
      <c r="N805" s="4" t="s">
        <v>36</v>
      </c>
      <c r="O805" s="4" t="s">
        <v>69</v>
      </c>
    </row>
    <row r="806" spans="2:15" ht="21" customHeight="1" x14ac:dyDescent="0.3">
      <c r="B806" s="11" t="s">
        <v>14</v>
      </c>
      <c r="C806" s="12">
        <v>13</v>
      </c>
      <c r="D806" s="13" t="s">
        <v>59</v>
      </c>
      <c r="E806" s="11" t="s">
        <v>53</v>
      </c>
      <c r="F806" s="11" t="s">
        <v>46</v>
      </c>
      <c r="G806" s="14">
        <v>2</v>
      </c>
      <c r="H806" s="15">
        <v>12000000</v>
      </c>
      <c r="I806" s="11">
        <v>1</v>
      </c>
      <c r="J806" s="16">
        <v>3.3333333333333335E-3</v>
      </c>
      <c r="K806" s="11" t="s">
        <v>18</v>
      </c>
      <c r="L806" s="11" t="s">
        <v>60</v>
      </c>
      <c r="M806" s="11" t="s">
        <v>32</v>
      </c>
      <c r="N806" s="11" t="s">
        <v>27</v>
      </c>
      <c r="O806" s="11" t="s">
        <v>28</v>
      </c>
    </row>
    <row r="807" spans="2:15" ht="21" customHeight="1" x14ac:dyDescent="0.3">
      <c r="B807" s="4" t="s">
        <v>14</v>
      </c>
      <c r="C807" s="5">
        <v>1</v>
      </c>
      <c r="D807" s="6" t="s">
        <v>63</v>
      </c>
      <c r="E807" s="4" t="s">
        <v>53</v>
      </c>
      <c r="F807" s="4" t="s">
        <v>24</v>
      </c>
      <c r="G807" s="7">
        <v>4</v>
      </c>
      <c r="H807" s="1">
        <v>20000000</v>
      </c>
      <c r="I807" s="4">
        <v>4</v>
      </c>
      <c r="J807" s="8">
        <v>3.3333333333333335E-3</v>
      </c>
      <c r="K807" s="4" t="s">
        <v>65</v>
      </c>
      <c r="L807" s="4" t="s">
        <v>68</v>
      </c>
      <c r="M807" s="4" t="s">
        <v>47</v>
      </c>
      <c r="N807" s="4" t="s">
        <v>21</v>
      </c>
      <c r="O807" s="4" t="s">
        <v>67</v>
      </c>
    </row>
    <row r="808" spans="2:15" ht="21" customHeight="1" x14ac:dyDescent="0.3">
      <c r="B808" s="11" t="s">
        <v>74</v>
      </c>
      <c r="C808" s="12">
        <v>12</v>
      </c>
      <c r="D808" s="13" t="s">
        <v>64</v>
      </c>
      <c r="E808" s="11" t="s">
        <v>16</v>
      </c>
      <c r="F808" s="11" t="s">
        <v>46</v>
      </c>
      <c r="G808" s="14">
        <v>0</v>
      </c>
      <c r="H808" s="15">
        <v>0</v>
      </c>
      <c r="I808" s="11">
        <v>2</v>
      </c>
      <c r="J808" s="16">
        <v>3.3333333333333335E-3</v>
      </c>
      <c r="K808" s="11"/>
      <c r="L808" s="11"/>
      <c r="M808" s="11" t="s">
        <v>20</v>
      </c>
      <c r="N808" s="11" t="s">
        <v>36</v>
      </c>
      <c r="O808" s="11" t="s">
        <v>37</v>
      </c>
    </row>
    <row r="809" spans="2:15" ht="21" customHeight="1" x14ac:dyDescent="0.3">
      <c r="B809" s="4" t="s">
        <v>74</v>
      </c>
      <c r="C809" s="5">
        <v>6</v>
      </c>
      <c r="D809" s="6" t="s">
        <v>29</v>
      </c>
      <c r="E809" s="4" t="s">
        <v>16</v>
      </c>
      <c r="F809" s="4" t="s">
        <v>24</v>
      </c>
      <c r="G809" s="7">
        <v>0</v>
      </c>
      <c r="H809" s="1">
        <v>0</v>
      </c>
      <c r="I809" s="4">
        <v>1</v>
      </c>
      <c r="J809" s="8">
        <v>3.3333333333333335E-3</v>
      </c>
      <c r="K809" s="4"/>
      <c r="L809" s="4"/>
      <c r="M809" s="4" t="s">
        <v>35</v>
      </c>
      <c r="N809" s="4" t="s">
        <v>27</v>
      </c>
      <c r="O809" s="4" t="s">
        <v>75</v>
      </c>
    </row>
    <row r="810" spans="2:15" ht="21" customHeight="1" x14ac:dyDescent="0.3">
      <c r="B810" s="11" t="s">
        <v>74</v>
      </c>
      <c r="C810" s="12">
        <v>17</v>
      </c>
      <c r="D810" s="13" t="s">
        <v>29</v>
      </c>
      <c r="E810" s="11" t="s">
        <v>16</v>
      </c>
      <c r="F810" s="11" t="s">
        <v>46</v>
      </c>
      <c r="G810" s="14">
        <v>0</v>
      </c>
      <c r="H810" s="15">
        <v>0</v>
      </c>
      <c r="I810" s="11">
        <v>4</v>
      </c>
      <c r="J810" s="16">
        <v>3.3333333333333335E-3</v>
      </c>
      <c r="K810" s="11"/>
      <c r="L810" s="11"/>
      <c r="M810" s="11" t="s">
        <v>20</v>
      </c>
      <c r="N810" s="11" t="s">
        <v>21</v>
      </c>
      <c r="O810" s="11" t="s">
        <v>70</v>
      </c>
    </row>
    <row r="811" spans="2:15" ht="21" customHeight="1" x14ac:dyDescent="0.3">
      <c r="B811" s="4" t="s">
        <v>74</v>
      </c>
      <c r="C811" s="5">
        <v>11</v>
      </c>
      <c r="D811" s="6" t="s">
        <v>48</v>
      </c>
      <c r="E811" s="4" t="s">
        <v>53</v>
      </c>
      <c r="F811" s="4" t="s">
        <v>17</v>
      </c>
      <c r="G811" s="7">
        <v>0</v>
      </c>
      <c r="H811" s="1">
        <v>0</v>
      </c>
      <c r="I811" s="4">
        <v>2</v>
      </c>
      <c r="J811" s="8">
        <v>3.3333333333333335E-3</v>
      </c>
      <c r="K811" s="4"/>
      <c r="L811" s="4"/>
      <c r="M811" s="4" t="s">
        <v>52</v>
      </c>
      <c r="N811" s="4" t="s">
        <v>21</v>
      </c>
      <c r="O811" s="4" t="s">
        <v>66</v>
      </c>
    </row>
    <row r="812" spans="2:15" ht="21" customHeight="1" x14ac:dyDescent="0.3">
      <c r="B812" s="11" t="s">
        <v>74</v>
      </c>
      <c r="C812" s="12">
        <v>12</v>
      </c>
      <c r="D812" s="13" t="s">
        <v>64</v>
      </c>
      <c r="E812" s="11" t="s">
        <v>16</v>
      </c>
      <c r="F812" s="11" t="s">
        <v>46</v>
      </c>
      <c r="G812" s="14">
        <v>0</v>
      </c>
      <c r="H812" s="15">
        <v>0</v>
      </c>
      <c r="I812" s="11">
        <v>2</v>
      </c>
      <c r="J812" s="16">
        <v>3.3333333333333335E-3</v>
      </c>
      <c r="K812" s="11"/>
      <c r="L812" s="11"/>
      <c r="M812" s="11" t="s">
        <v>20</v>
      </c>
      <c r="N812" s="11" t="s">
        <v>36</v>
      </c>
      <c r="O812" s="11" t="s">
        <v>37</v>
      </c>
    </row>
    <row r="813" spans="2:15" ht="21" customHeight="1" x14ac:dyDescent="0.3">
      <c r="B813" s="4" t="s">
        <v>14</v>
      </c>
      <c r="C813" s="5">
        <v>18</v>
      </c>
      <c r="D813" s="6" t="s">
        <v>61</v>
      </c>
      <c r="E813" s="4" t="s">
        <v>30</v>
      </c>
      <c r="F813" s="4" t="s">
        <v>46</v>
      </c>
      <c r="G813" s="7">
        <v>5</v>
      </c>
      <c r="H813" s="1">
        <v>20000000</v>
      </c>
      <c r="I813" s="4">
        <v>1</v>
      </c>
      <c r="J813" s="8">
        <v>3.6111111111111114E-3</v>
      </c>
      <c r="K813" s="4" t="s">
        <v>18</v>
      </c>
      <c r="L813" s="4" t="s">
        <v>68</v>
      </c>
      <c r="M813" s="4" t="s">
        <v>55</v>
      </c>
      <c r="N813" s="4" t="s">
        <v>36</v>
      </c>
      <c r="O813" s="4" t="s">
        <v>37</v>
      </c>
    </row>
    <row r="814" spans="2:15" ht="21" customHeight="1" x14ac:dyDescent="0.3">
      <c r="B814" s="11" t="s">
        <v>14</v>
      </c>
      <c r="C814" s="12">
        <v>11</v>
      </c>
      <c r="D814" s="13" t="s">
        <v>41</v>
      </c>
      <c r="E814" s="11" t="s">
        <v>16</v>
      </c>
      <c r="F814" s="11" t="s">
        <v>24</v>
      </c>
      <c r="G814" s="14">
        <v>2</v>
      </c>
      <c r="H814" s="15">
        <v>38000000</v>
      </c>
      <c r="I814" s="11">
        <v>2</v>
      </c>
      <c r="J814" s="16">
        <v>3.6111111111111114E-3</v>
      </c>
      <c r="K814" s="11" t="s">
        <v>50</v>
      </c>
      <c r="L814" s="11" t="s">
        <v>25</v>
      </c>
      <c r="M814" s="11" t="s">
        <v>47</v>
      </c>
      <c r="N814" s="11" t="s">
        <v>39</v>
      </c>
      <c r="O814" s="11" t="s">
        <v>71</v>
      </c>
    </row>
    <row r="815" spans="2:15" ht="21" customHeight="1" x14ac:dyDescent="0.3">
      <c r="B815" s="4" t="s">
        <v>14</v>
      </c>
      <c r="C815" s="5">
        <v>23</v>
      </c>
      <c r="D815" s="6" t="s">
        <v>41</v>
      </c>
      <c r="E815" s="4" t="s">
        <v>16</v>
      </c>
      <c r="F815" s="4" t="s">
        <v>17</v>
      </c>
      <c r="G815" s="7">
        <v>1</v>
      </c>
      <c r="H815" s="1">
        <v>19000000</v>
      </c>
      <c r="I815" s="4">
        <v>2</v>
      </c>
      <c r="J815" s="8">
        <v>3.6111111111111114E-3</v>
      </c>
      <c r="K815" s="4" t="s">
        <v>50</v>
      </c>
      <c r="L815" s="4" t="s">
        <v>60</v>
      </c>
      <c r="M815" s="4" t="s">
        <v>20</v>
      </c>
      <c r="N815" s="4" t="s">
        <v>21</v>
      </c>
      <c r="O815" s="4" t="s">
        <v>45</v>
      </c>
    </row>
    <row r="816" spans="2:15" ht="21" customHeight="1" x14ac:dyDescent="0.3">
      <c r="B816" s="11" t="s">
        <v>14</v>
      </c>
      <c r="C816" s="12">
        <v>28</v>
      </c>
      <c r="D816" s="13" t="s">
        <v>41</v>
      </c>
      <c r="E816" s="11" t="s">
        <v>53</v>
      </c>
      <c r="F816" s="11" t="s">
        <v>46</v>
      </c>
      <c r="G816" s="14">
        <v>1</v>
      </c>
      <c r="H816" s="15">
        <v>7000000</v>
      </c>
      <c r="I816" s="11">
        <v>4</v>
      </c>
      <c r="J816" s="16">
        <v>3.6111111111111114E-3</v>
      </c>
      <c r="K816" s="11" t="s">
        <v>18</v>
      </c>
      <c r="L816" s="11" t="s">
        <v>43</v>
      </c>
      <c r="M816" s="11" t="s">
        <v>47</v>
      </c>
      <c r="N816" s="11" t="s">
        <v>21</v>
      </c>
      <c r="O816" s="11" t="s">
        <v>66</v>
      </c>
    </row>
    <row r="817" spans="2:15" ht="21" customHeight="1" x14ac:dyDescent="0.3">
      <c r="B817" s="4" t="s">
        <v>14</v>
      </c>
      <c r="C817" s="5">
        <v>30</v>
      </c>
      <c r="D817" s="6" t="s">
        <v>41</v>
      </c>
      <c r="E817" s="4" t="s">
        <v>16</v>
      </c>
      <c r="F817" s="4" t="s">
        <v>24</v>
      </c>
      <c r="G817" s="7">
        <v>3</v>
      </c>
      <c r="H817" s="1">
        <v>12000000</v>
      </c>
      <c r="I817" s="4">
        <v>1</v>
      </c>
      <c r="J817" s="8">
        <v>3.6111111111111114E-3</v>
      </c>
      <c r="K817" s="4" t="s">
        <v>18</v>
      </c>
      <c r="L817" s="4" t="s">
        <v>19</v>
      </c>
      <c r="M817" s="4" t="s">
        <v>52</v>
      </c>
      <c r="N817" s="4" t="s">
        <v>21</v>
      </c>
      <c r="O817" s="4" t="s">
        <v>45</v>
      </c>
    </row>
    <row r="818" spans="2:15" ht="21" customHeight="1" x14ac:dyDescent="0.3">
      <c r="B818" s="11" t="s">
        <v>14</v>
      </c>
      <c r="C818" s="12">
        <v>22</v>
      </c>
      <c r="D818" s="13" t="s">
        <v>48</v>
      </c>
      <c r="E818" s="11" t="s">
        <v>34</v>
      </c>
      <c r="F818" s="11" t="s">
        <v>46</v>
      </c>
      <c r="G818" s="14">
        <v>4</v>
      </c>
      <c r="H818" s="15">
        <v>20000000</v>
      </c>
      <c r="I818" s="11">
        <v>2</v>
      </c>
      <c r="J818" s="16">
        <v>3.6111111111111114E-3</v>
      </c>
      <c r="K818" s="11" t="s">
        <v>65</v>
      </c>
      <c r="L818" s="11" t="s">
        <v>19</v>
      </c>
      <c r="M818" s="11" t="s">
        <v>32</v>
      </c>
      <c r="N818" s="11" t="s">
        <v>27</v>
      </c>
      <c r="O818" s="11" t="s">
        <v>33</v>
      </c>
    </row>
    <row r="819" spans="2:15" ht="21" customHeight="1" x14ac:dyDescent="0.3">
      <c r="B819" s="4" t="s">
        <v>14</v>
      </c>
      <c r="C819" s="5">
        <v>1</v>
      </c>
      <c r="D819" s="6" t="s">
        <v>48</v>
      </c>
      <c r="E819" s="4" t="s">
        <v>34</v>
      </c>
      <c r="F819" s="4" t="s">
        <v>17</v>
      </c>
      <c r="G819" s="7">
        <v>5</v>
      </c>
      <c r="H819" s="1">
        <v>25000000</v>
      </c>
      <c r="I819" s="4">
        <v>2</v>
      </c>
      <c r="J819" s="8">
        <v>3.6111111111111114E-3</v>
      </c>
      <c r="K819" s="4" t="s">
        <v>18</v>
      </c>
      <c r="L819" s="4" t="s">
        <v>31</v>
      </c>
      <c r="M819" s="4" t="s">
        <v>44</v>
      </c>
      <c r="N819" s="4" t="s">
        <v>36</v>
      </c>
      <c r="O819" s="4" t="s">
        <v>69</v>
      </c>
    </row>
    <row r="820" spans="2:15" ht="21" customHeight="1" x14ac:dyDescent="0.3">
      <c r="B820" s="11" t="s">
        <v>14</v>
      </c>
      <c r="C820" s="12">
        <v>24</v>
      </c>
      <c r="D820" s="13" t="s">
        <v>73</v>
      </c>
      <c r="E820" s="11" t="s">
        <v>77</v>
      </c>
      <c r="F820" s="11" t="s">
        <v>24</v>
      </c>
      <c r="G820" s="14">
        <v>3</v>
      </c>
      <c r="H820" s="15">
        <v>11000000</v>
      </c>
      <c r="I820" s="11">
        <v>4</v>
      </c>
      <c r="J820" s="16">
        <v>3.6111111111111114E-3</v>
      </c>
      <c r="K820" s="11" t="s">
        <v>18</v>
      </c>
      <c r="L820" s="11" t="s">
        <v>60</v>
      </c>
      <c r="M820" s="11" t="s">
        <v>35</v>
      </c>
      <c r="N820" s="11" t="s">
        <v>21</v>
      </c>
      <c r="O820" s="11" t="s">
        <v>57</v>
      </c>
    </row>
    <row r="821" spans="2:15" ht="21" customHeight="1" x14ac:dyDescent="0.3">
      <c r="B821" s="4" t="s">
        <v>14</v>
      </c>
      <c r="C821" s="5">
        <v>18</v>
      </c>
      <c r="D821" s="6" t="s">
        <v>61</v>
      </c>
      <c r="E821" s="4" t="s">
        <v>30</v>
      </c>
      <c r="F821" s="4" t="s">
        <v>46</v>
      </c>
      <c r="G821" s="7">
        <v>5</v>
      </c>
      <c r="H821" s="1">
        <v>20000000</v>
      </c>
      <c r="I821" s="4">
        <v>1</v>
      </c>
      <c r="J821" s="8">
        <v>3.6111111111111114E-3</v>
      </c>
      <c r="K821" s="4" t="s">
        <v>18</v>
      </c>
      <c r="L821" s="4" t="s">
        <v>68</v>
      </c>
      <c r="M821" s="4" t="s">
        <v>55</v>
      </c>
      <c r="N821" s="4" t="s">
        <v>36</v>
      </c>
      <c r="O821" s="4" t="s">
        <v>37</v>
      </c>
    </row>
    <row r="822" spans="2:15" ht="21" customHeight="1" x14ac:dyDescent="0.3">
      <c r="B822" s="11" t="s">
        <v>74</v>
      </c>
      <c r="C822" s="12">
        <v>3</v>
      </c>
      <c r="D822" s="13" t="s">
        <v>59</v>
      </c>
      <c r="E822" s="11" t="s">
        <v>34</v>
      </c>
      <c r="F822" s="11" t="s">
        <v>24</v>
      </c>
      <c r="G822" s="14">
        <v>0</v>
      </c>
      <c r="H822" s="15">
        <v>0</v>
      </c>
      <c r="I822" s="11">
        <v>1</v>
      </c>
      <c r="J822" s="16">
        <v>3.6111111111111114E-3</v>
      </c>
      <c r="K822" s="11"/>
      <c r="L822" s="11"/>
      <c r="M822" s="11" t="s">
        <v>26</v>
      </c>
      <c r="N822" s="11" t="s">
        <v>21</v>
      </c>
      <c r="O822" s="11" t="s">
        <v>57</v>
      </c>
    </row>
    <row r="823" spans="2:15" ht="21" customHeight="1" x14ac:dyDescent="0.3">
      <c r="B823" s="4" t="s">
        <v>74</v>
      </c>
      <c r="C823" s="5">
        <v>22</v>
      </c>
      <c r="D823" s="6" t="s">
        <v>29</v>
      </c>
      <c r="E823" s="4" t="s">
        <v>42</v>
      </c>
      <c r="F823" s="4" t="s">
        <v>72</v>
      </c>
      <c r="G823" s="7">
        <v>0</v>
      </c>
      <c r="H823" s="1">
        <v>0</v>
      </c>
      <c r="I823" s="4">
        <v>6</v>
      </c>
      <c r="J823" s="8">
        <v>3.6111111111111114E-3</v>
      </c>
      <c r="K823" s="4"/>
      <c r="L823" s="4"/>
      <c r="M823" s="4" t="s">
        <v>32</v>
      </c>
      <c r="N823" s="4" t="s">
        <v>21</v>
      </c>
      <c r="O823" s="4" t="s">
        <v>57</v>
      </c>
    </row>
    <row r="824" spans="2:15" ht="21" customHeight="1" x14ac:dyDescent="0.3">
      <c r="B824" s="11" t="s">
        <v>74</v>
      </c>
      <c r="C824" s="12">
        <v>5</v>
      </c>
      <c r="D824" s="13" t="s">
        <v>41</v>
      </c>
      <c r="E824" s="11" t="s">
        <v>42</v>
      </c>
      <c r="F824" s="11" t="s">
        <v>24</v>
      </c>
      <c r="G824" s="14">
        <v>0</v>
      </c>
      <c r="H824" s="15">
        <v>0</v>
      </c>
      <c r="I824" s="11">
        <v>3</v>
      </c>
      <c r="J824" s="16">
        <v>3.6111111111111114E-3</v>
      </c>
      <c r="K824" s="11"/>
      <c r="L824" s="11"/>
      <c r="M824" s="11" t="s">
        <v>32</v>
      </c>
      <c r="N824" s="11" t="s">
        <v>27</v>
      </c>
      <c r="O824" s="11" t="s">
        <v>79</v>
      </c>
    </row>
    <row r="825" spans="2:15" ht="21" customHeight="1" x14ac:dyDescent="0.3">
      <c r="B825" s="4" t="s">
        <v>74</v>
      </c>
      <c r="C825" s="5">
        <v>20</v>
      </c>
      <c r="D825" s="6" t="s">
        <v>48</v>
      </c>
      <c r="E825" s="4" t="s">
        <v>34</v>
      </c>
      <c r="F825" s="4" t="s">
        <v>49</v>
      </c>
      <c r="G825" s="7">
        <v>0</v>
      </c>
      <c r="H825" s="1">
        <v>0</v>
      </c>
      <c r="I825" s="4">
        <v>3</v>
      </c>
      <c r="J825" s="8">
        <v>3.6111111111111114E-3</v>
      </c>
      <c r="K825" s="4"/>
      <c r="L825" s="4"/>
      <c r="M825" s="4" t="s">
        <v>20</v>
      </c>
      <c r="N825" s="4" t="s">
        <v>27</v>
      </c>
      <c r="O825" s="4" t="s">
        <v>56</v>
      </c>
    </row>
    <row r="826" spans="2:15" ht="21" customHeight="1" x14ac:dyDescent="0.3">
      <c r="B826" s="11" t="s">
        <v>74</v>
      </c>
      <c r="C826" s="12">
        <v>29</v>
      </c>
      <c r="D826" s="13" t="s">
        <v>48</v>
      </c>
      <c r="E826" s="11" t="s">
        <v>34</v>
      </c>
      <c r="F826" s="11" t="s">
        <v>24</v>
      </c>
      <c r="G826" s="14">
        <v>0</v>
      </c>
      <c r="H826" s="15">
        <v>0</v>
      </c>
      <c r="I826" s="11">
        <v>2</v>
      </c>
      <c r="J826" s="16">
        <v>3.6111111111111114E-3</v>
      </c>
      <c r="K826" s="11"/>
      <c r="L826" s="11"/>
      <c r="M826" s="11" t="s">
        <v>52</v>
      </c>
      <c r="N826" s="11" t="s">
        <v>39</v>
      </c>
      <c r="O826" s="11" t="s">
        <v>71</v>
      </c>
    </row>
    <row r="827" spans="2:15" ht="21" customHeight="1" x14ac:dyDescent="0.3">
      <c r="B827" s="4" t="s">
        <v>74</v>
      </c>
      <c r="C827" s="5">
        <v>3</v>
      </c>
      <c r="D827" s="6" t="s">
        <v>59</v>
      </c>
      <c r="E827" s="4" t="s">
        <v>34</v>
      </c>
      <c r="F827" s="4" t="s">
        <v>24</v>
      </c>
      <c r="G827" s="7">
        <v>0</v>
      </c>
      <c r="H827" s="1">
        <v>0</v>
      </c>
      <c r="I827" s="4">
        <v>1</v>
      </c>
      <c r="J827" s="8">
        <v>3.6111111111111114E-3</v>
      </c>
      <c r="K827" s="4"/>
      <c r="L827" s="4"/>
      <c r="M827" s="4" t="s">
        <v>26</v>
      </c>
      <c r="N827" s="4" t="s">
        <v>21</v>
      </c>
      <c r="O827" s="4" t="s">
        <v>57</v>
      </c>
    </row>
    <row r="828" spans="2:15" ht="21" customHeight="1" x14ac:dyDescent="0.3">
      <c r="B828" s="11" t="s">
        <v>14</v>
      </c>
      <c r="C828" s="12">
        <v>1</v>
      </c>
      <c r="D828" s="13" t="s">
        <v>63</v>
      </c>
      <c r="E828" s="11" t="s">
        <v>77</v>
      </c>
      <c r="F828" s="11" t="s">
        <v>46</v>
      </c>
      <c r="G828" s="14">
        <v>2</v>
      </c>
      <c r="H828" s="15">
        <v>12000000</v>
      </c>
      <c r="I828" s="11">
        <v>3</v>
      </c>
      <c r="J828" s="16">
        <v>3.6342592592592594E-3</v>
      </c>
      <c r="K828" s="11" t="s">
        <v>18</v>
      </c>
      <c r="L828" s="11" t="s">
        <v>19</v>
      </c>
      <c r="M828" s="11" t="s">
        <v>35</v>
      </c>
      <c r="N828" s="11" t="s">
        <v>27</v>
      </c>
      <c r="O828" s="11" t="s">
        <v>28</v>
      </c>
    </row>
    <row r="829" spans="2:15" ht="21" customHeight="1" x14ac:dyDescent="0.3">
      <c r="B829" s="4" t="s">
        <v>14</v>
      </c>
      <c r="C829" s="5">
        <v>17</v>
      </c>
      <c r="D829" s="6" t="s">
        <v>23</v>
      </c>
      <c r="E829" s="4" t="s">
        <v>77</v>
      </c>
      <c r="F829" s="4" t="s">
        <v>46</v>
      </c>
      <c r="G829" s="7">
        <v>2</v>
      </c>
      <c r="H829" s="1">
        <v>12000000</v>
      </c>
      <c r="I829" s="4">
        <v>4</v>
      </c>
      <c r="J829" s="8">
        <v>3.6342592592592594E-3</v>
      </c>
      <c r="K829" s="4" t="s">
        <v>18</v>
      </c>
      <c r="L829" s="4" t="s">
        <v>31</v>
      </c>
      <c r="M829" s="4" t="s">
        <v>47</v>
      </c>
      <c r="N829" s="4" t="s">
        <v>36</v>
      </c>
      <c r="O829" s="4" t="s">
        <v>58</v>
      </c>
    </row>
    <row r="830" spans="2:15" ht="21" customHeight="1" x14ac:dyDescent="0.3">
      <c r="B830" s="11" t="s">
        <v>14</v>
      </c>
      <c r="C830" s="12">
        <v>9</v>
      </c>
      <c r="D830" s="13" t="s">
        <v>29</v>
      </c>
      <c r="E830" s="11" t="s">
        <v>42</v>
      </c>
      <c r="F830" s="11" t="s">
        <v>46</v>
      </c>
      <c r="G830" s="14">
        <v>5</v>
      </c>
      <c r="H830" s="15">
        <v>25000000</v>
      </c>
      <c r="I830" s="11">
        <v>2</v>
      </c>
      <c r="J830" s="16">
        <v>3.6342592592592594E-3</v>
      </c>
      <c r="K830" s="11" t="s">
        <v>18</v>
      </c>
      <c r="L830" s="11" t="s">
        <v>38</v>
      </c>
      <c r="M830" s="11" t="s">
        <v>35</v>
      </c>
      <c r="N830" s="11" t="s">
        <v>21</v>
      </c>
      <c r="O830" s="11" t="s">
        <v>67</v>
      </c>
    </row>
    <row r="831" spans="2:15" ht="21" customHeight="1" x14ac:dyDescent="0.3">
      <c r="B831" s="4" t="s">
        <v>14</v>
      </c>
      <c r="C831" s="5">
        <v>29</v>
      </c>
      <c r="D831" s="6" t="s">
        <v>29</v>
      </c>
      <c r="E831" s="4" t="s">
        <v>16</v>
      </c>
      <c r="F831" s="4" t="s">
        <v>49</v>
      </c>
      <c r="G831" s="7">
        <v>1</v>
      </c>
      <c r="H831" s="1">
        <v>7000000</v>
      </c>
      <c r="I831" s="4">
        <v>4</v>
      </c>
      <c r="J831" s="8">
        <v>3.6342592592592594E-3</v>
      </c>
      <c r="K831" s="4" t="s">
        <v>18</v>
      </c>
      <c r="L831" s="4" t="s">
        <v>31</v>
      </c>
      <c r="M831" s="4" t="s">
        <v>52</v>
      </c>
      <c r="N831" s="4" t="s">
        <v>36</v>
      </c>
      <c r="O831" s="4" t="s">
        <v>37</v>
      </c>
    </row>
    <row r="832" spans="2:15" ht="21" customHeight="1" x14ac:dyDescent="0.3">
      <c r="B832" s="11" t="s">
        <v>14</v>
      </c>
      <c r="C832" s="12">
        <v>11</v>
      </c>
      <c r="D832" s="13" t="s">
        <v>41</v>
      </c>
      <c r="E832" s="11" t="s">
        <v>34</v>
      </c>
      <c r="F832" s="11" t="s">
        <v>46</v>
      </c>
      <c r="G832" s="14">
        <v>2</v>
      </c>
      <c r="H832" s="15">
        <v>38000000</v>
      </c>
      <c r="I832" s="11">
        <v>3</v>
      </c>
      <c r="J832" s="16">
        <v>3.6342592592592594E-3</v>
      </c>
      <c r="K832" s="11" t="s">
        <v>50</v>
      </c>
      <c r="L832" s="11" t="s">
        <v>43</v>
      </c>
      <c r="M832" s="11" t="s">
        <v>47</v>
      </c>
      <c r="N832" s="11" t="s">
        <v>21</v>
      </c>
      <c r="O832" s="11" t="s">
        <v>45</v>
      </c>
    </row>
    <row r="833" spans="2:15" ht="21" customHeight="1" x14ac:dyDescent="0.3">
      <c r="B833" s="4" t="s">
        <v>14</v>
      </c>
      <c r="C833" s="5">
        <v>17</v>
      </c>
      <c r="D833" s="6" t="s">
        <v>41</v>
      </c>
      <c r="E833" s="4" t="s">
        <v>30</v>
      </c>
      <c r="F833" s="4" t="s">
        <v>17</v>
      </c>
      <c r="G833" s="7">
        <v>1</v>
      </c>
      <c r="H833" s="1">
        <v>19000000</v>
      </c>
      <c r="I833" s="4">
        <v>2</v>
      </c>
      <c r="J833" s="8">
        <v>3.6342592592592594E-3</v>
      </c>
      <c r="K833" s="4" t="s">
        <v>50</v>
      </c>
      <c r="L833" s="4" t="s">
        <v>25</v>
      </c>
      <c r="M833" s="4" t="s">
        <v>26</v>
      </c>
      <c r="N833" s="4" t="s">
        <v>27</v>
      </c>
      <c r="O833" s="4" t="s">
        <v>28</v>
      </c>
    </row>
    <row r="834" spans="2:15" ht="21" customHeight="1" x14ac:dyDescent="0.3">
      <c r="B834" s="11" t="s">
        <v>14</v>
      </c>
      <c r="C834" s="12">
        <v>4</v>
      </c>
      <c r="D834" s="13" t="s">
        <v>41</v>
      </c>
      <c r="E834" s="11" t="s">
        <v>16</v>
      </c>
      <c r="F834" s="11" t="s">
        <v>46</v>
      </c>
      <c r="G834" s="14">
        <v>4</v>
      </c>
      <c r="H834" s="15">
        <v>15000000</v>
      </c>
      <c r="I834" s="11">
        <v>5</v>
      </c>
      <c r="J834" s="16">
        <v>3.6342592592592594E-3</v>
      </c>
      <c r="K834" s="11" t="s">
        <v>18</v>
      </c>
      <c r="L834" s="11" t="s">
        <v>31</v>
      </c>
      <c r="M834" s="11" t="s">
        <v>44</v>
      </c>
      <c r="N834" s="11" t="s">
        <v>21</v>
      </c>
      <c r="O834" s="11" t="s">
        <v>70</v>
      </c>
    </row>
    <row r="835" spans="2:15" ht="21" customHeight="1" x14ac:dyDescent="0.3">
      <c r="B835" s="4" t="s">
        <v>14</v>
      </c>
      <c r="C835" s="5">
        <v>1</v>
      </c>
      <c r="D835" s="6" t="s">
        <v>41</v>
      </c>
      <c r="E835" s="4" t="s">
        <v>42</v>
      </c>
      <c r="F835" s="4" t="s">
        <v>17</v>
      </c>
      <c r="G835" s="7">
        <v>3</v>
      </c>
      <c r="H835" s="1">
        <v>15000000</v>
      </c>
      <c r="I835" s="4">
        <v>5</v>
      </c>
      <c r="J835" s="8">
        <v>3.6342592592592594E-3</v>
      </c>
      <c r="K835" s="4" t="s">
        <v>18</v>
      </c>
      <c r="L835" s="4" t="s">
        <v>31</v>
      </c>
      <c r="M835" s="4" t="s">
        <v>20</v>
      </c>
      <c r="N835" s="4" t="s">
        <v>21</v>
      </c>
      <c r="O835" s="4" t="s">
        <v>57</v>
      </c>
    </row>
    <row r="836" spans="2:15" ht="21" customHeight="1" x14ac:dyDescent="0.3">
      <c r="B836" s="11" t="s">
        <v>14</v>
      </c>
      <c r="C836" s="12">
        <v>11</v>
      </c>
      <c r="D836" s="13" t="s">
        <v>48</v>
      </c>
      <c r="E836" s="11" t="s">
        <v>16</v>
      </c>
      <c r="F836" s="11" t="s">
        <v>46</v>
      </c>
      <c r="G836" s="14">
        <v>3</v>
      </c>
      <c r="H836" s="15">
        <v>11000000</v>
      </c>
      <c r="I836" s="11">
        <v>1</v>
      </c>
      <c r="J836" s="16">
        <v>3.6342592592592594E-3</v>
      </c>
      <c r="K836" s="11" t="s">
        <v>18</v>
      </c>
      <c r="L836" s="11" t="s">
        <v>19</v>
      </c>
      <c r="M836" s="11" t="s">
        <v>35</v>
      </c>
      <c r="N836" s="11" t="s">
        <v>27</v>
      </c>
      <c r="O836" s="11" t="s">
        <v>28</v>
      </c>
    </row>
    <row r="837" spans="2:15" ht="21" customHeight="1" x14ac:dyDescent="0.3">
      <c r="B837" s="4" t="s">
        <v>14</v>
      </c>
      <c r="C837" s="5">
        <v>4</v>
      </c>
      <c r="D837" s="6" t="s">
        <v>48</v>
      </c>
      <c r="E837" s="4" t="s">
        <v>16</v>
      </c>
      <c r="F837" s="4" t="s">
        <v>24</v>
      </c>
      <c r="G837" s="7">
        <v>2</v>
      </c>
      <c r="H837" s="1">
        <v>12000000</v>
      </c>
      <c r="I837" s="4">
        <v>1</v>
      </c>
      <c r="J837" s="8">
        <v>3.6342592592592594E-3</v>
      </c>
      <c r="K837" s="4" t="s">
        <v>18</v>
      </c>
      <c r="L837" s="4" t="s">
        <v>25</v>
      </c>
      <c r="M837" s="4" t="s">
        <v>47</v>
      </c>
      <c r="N837" s="4" t="s">
        <v>39</v>
      </c>
      <c r="O837" s="4" t="s">
        <v>40</v>
      </c>
    </row>
    <row r="838" spans="2:15" ht="21" customHeight="1" x14ac:dyDescent="0.3">
      <c r="B838" s="11" t="s">
        <v>14</v>
      </c>
      <c r="C838" s="12">
        <v>1</v>
      </c>
      <c r="D838" s="13" t="s">
        <v>63</v>
      </c>
      <c r="E838" s="11" t="s">
        <v>77</v>
      </c>
      <c r="F838" s="11" t="s">
        <v>46</v>
      </c>
      <c r="G838" s="14">
        <v>2</v>
      </c>
      <c r="H838" s="15">
        <v>12000000</v>
      </c>
      <c r="I838" s="11">
        <v>3</v>
      </c>
      <c r="J838" s="16">
        <v>3.6342592592592594E-3</v>
      </c>
      <c r="K838" s="11" t="s">
        <v>18</v>
      </c>
      <c r="L838" s="11" t="s">
        <v>19</v>
      </c>
      <c r="M838" s="11" t="s">
        <v>35</v>
      </c>
      <c r="N838" s="11" t="s">
        <v>27</v>
      </c>
      <c r="O838" s="11" t="s">
        <v>28</v>
      </c>
    </row>
    <row r="839" spans="2:15" ht="21" customHeight="1" x14ac:dyDescent="0.3">
      <c r="B839" s="4" t="s">
        <v>14</v>
      </c>
      <c r="C839" s="5">
        <v>17</v>
      </c>
      <c r="D839" s="6" t="s">
        <v>23</v>
      </c>
      <c r="E839" s="4" t="s">
        <v>77</v>
      </c>
      <c r="F839" s="4" t="s">
        <v>46</v>
      </c>
      <c r="G839" s="7">
        <v>2</v>
      </c>
      <c r="H839" s="1">
        <v>12000000</v>
      </c>
      <c r="I839" s="4">
        <v>4</v>
      </c>
      <c r="J839" s="8">
        <v>3.6342592592592594E-3</v>
      </c>
      <c r="K839" s="4" t="s">
        <v>18</v>
      </c>
      <c r="L839" s="4" t="s">
        <v>31</v>
      </c>
      <c r="M839" s="4" t="s">
        <v>47</v>
      </c>
      <c r="N839" s="4" t="s">
        <v>36</v>
      </c>
      <c r="O839" s="4" t="s">
        <v>58</v>
      </c>
    </row>
    <row r="840" spans="2:15" ht="21" customHeight="1" x14ac:dyDescent="0.3">
      <c r="B840" s="11" t="s">
        <v>74</v>
      </c>
      <c r="C840" s="12">
        <v>11</v>
      </c>
      <c r="D840" s="13" t="s">
        <v>23</v>
      </c>
      <c r="E840" s="11" t="s">
        <v>16</v>
      </c>
      <c r="F840" s="11" t="s">
        <v>17</v>
      </c>
      <c r="G840" s="14">
        <v>0</v>
      </c>
      <c r="H840" s="15">
        <v>0</v>
      </c>
      <c r="I840" s="11">
        <v>1</v>
      </c>
      <c r="J840" s="16">
        <v>3.6342592592592594E-3</v>
      </c>
      <c r="K840" s="11"/>
      <c r="L840" s="11"/>
      <c r="M840" s="11" t="s">
        <v>20</v>
      </c>
      <c r="N840" s="11" t="s">
        <v>27</v>
      </c>
      <c r="O840" s="11" t="s">
        <v>75</v>
      </c>
    </row>
    <row r="841" spans="2:15" ht="21" customHeight="1" x14ac:dyDescent="0.3">
      <c r="B841" s="4" t="s">
        <v>74</v>
      </c>
      <c r="C841" s="5">
        <v>12</v>
      </c>
      <c r="D841" s="6" t="s">
        <v>23</v>
      </c>
      <c r="E841" s="4" t="s">
        <v>53</v>
      </c>
      <c r="F841" s="4" t="s">
        <v>46</v>
      </c>
      <c r="G841" s="7">
        <v>0</v>
      </c>
      <c r="H841" s="1">
        <v>0</v>
      </c>
      <c r="I841" s="4">
        <v>1</v>
      </c>
      <c r="J841" s="8">
        <v>3.6342592592592594E-3</v>
      </c>
      <c r="K841" s="4"/>
      <c r="L841" s="4"/>
      <c r="M841" s="4" t="s">
        <v>32</v>
      </c>
      <c r="N841" s="4" t="s">
        <v>27</v>
      </c>
      <c r="O841" s="4" t="s">
        <v>28</v>
      </c>
    </row>
    <row r="842" spans="2:15" ht="21" customHeight="1" x14ac:dyDescent="0.3">
      <c r="B842" s="11" t="s">
        <v>74</v>
      </c>
      <c r="C842" s="12">
        <v>25</v>
      </c>
      <c r="D842" s="13" t="s">
        <v>41</v>
      </c>
      <c r="E842" s="11" t="s">
        <v>53</v>
      </c>
      <c r="F842" s="11" t="s">
        <v>24</v>
      </c>
      <c r="G842" s="14">
        <v>0</v>
      </c>
      <c r="H842" s="15">
        <v>0</v>
      </c>
      <c r="I842" s="11">
        <v>1</v>
      </c>
      <c r="J842" s="16">
        <v>3.6342592592592594E-3</v>
      </c>
      <c r="K842" s="11"/>
      <c r="L842" s="11"/>
      <c r="M842" s="11" t="s">
        <v>55</v>
      </c>
      <c r="N842" s="11" t="s">
        <v>21</v>
      </c>
      <c r="O842" s="11" t="s">
        <v>45</v>
      </c>
    </row>
    <row r="843" spans="2:15" ht="21" customHeight="1" x14ac:dyDescent="0.3">
      <c r="B843" s="4" t="s">
        <v>14</v>
      </c>
      <c r="C843" s="5">
        <v>8</v>
      </c>
      <c r="D843" s="6" t="s">
        <v>59</v>
      </c>
      <c r="E843" s="4" t="s">
        <v>34</v>
      </c>
      <c r="F843" s="4" t="s">
        <v>17</v>
      </c>
      <c r="G843" s="7">
        <v>3</v>
      </c>
      <c r="H843" s="1">
        <v>15000000</v>
      </c>
      <c r="I843" s="4">
        <v>5</v>
      </c>
      <c r="J843" s="8">
        <v>3.645833333333333E-3</v>
      </c>
      <c r="K843" s="4" t="s">
        <v>18</v>
      </c>
      <c r="L843" s="4" t="s">
        <v>60</v>
      </c>
      <c r="M843" s="4" t="s">
        <v>26</v>
      </c>
      <c r="N843" s="4" t="s">
        <v>21</v>
      </c>
      <c r="O843" s="4" t="s">
        <v>57</v>
      </c>
    </row>
    <row r="844" spans="2:15" ht="21" customHeight="1" x14ac:dyDescent="0.3">
      <c r="B844" s="11" t="s">
        <v>14</v>
      </c>
      <c r="C844" s="12">
        <v>12</v>
      </c>
      <c r="D844" s="13" t="s">
        <v>64</v>
      </c>
      <c r="E844" s="11" t="s">
        <v>34</v>
      </c>
      <c r="F844" s="11" t="s">
        <v>17</v>
      </c>
      <c r="G844" s="14">
        <v>5</v>
      </c>
      <c r="H844" s="15">
        <v>25000000</v>
      </c>
      <c r="I844" s="11">
        <v>1</v>
      </c>
      <c r="J844" s="16">
        <v>3.645833333333333E-3</v>
      </c>
      <c r="K844" s="11" t="s">
        <v>18</v>
      </c>
      <c r="L844" s="11" t="s">
        <v>68</v>
      </c>
      <c r="M844" s="11" t="s">
        <v>47</v>
      </c>
      <c r="N844" s="11" t="s">
        <v>27</v>
      </c>
      <c r="O844" s="11" t="s">
        <v>56</v>
      </c>
    </row>
    <row r="845" spans="2:15" ht="21" customHeight="1" x14ac:dyDescent="0.3">
      <c r="B845" s="4" t="s">
        <v>14</v>
      </c>
      <c r="C845" s="5">
        <v>30</v>
      </c>
      <c r="D845" s="6" t="s">
        <v>29</v>
      </c>
      <c r="E845" s="4" t="s">
        <v>34</v>
      </c>
      <c r="F845" s="4" t="s">
        <v>46</v>
      </c>
      <c r="G845" s="7">
        <v>4</v>
      </c>
      <c r="H845" s="1">
        <v>20000000</v>
      </c>
      <c r="I845" s="4">
        <v>3</v>
      </c>
      <c r="J845" s="8">
        <v>3.645833333333333E-3</v>
      </c>
      <c r="K845" s="4" t="s">
        <v>18</v>
      </c>
      <c r="L845" s="4" t="s">
        <v>19</v>
      </c>
      <c r="M845" s="4" t="s">
        <v>44</v>
      </c>
      <c r="N845" s="4" t="s">
        <v>36</v>
      </c>
      <c r="O845" s="4" t="s">
        <v>37</v>
      </c>
    </row>
    <row r="846" spans="2:15" ht="21" customHeight="1" x14ac:dyDescent="0.3">
      <c r="B846" s="11" t="s">
        <v>14</v>
      </c>
      <c r="C846" s="12">
        <v>18</v>
      </c>
      <c r="D846" s="13" t="s">
        <v>48</v>
      </c>
      <c r="E846" s="11" t="s">
        <v>53</v>
      </c>
      <c r="F846" s="11" t="s">
        <v>17</v>
      </c>
      <c r="G846" s="14">
        <v>4</v>
      </c>
      <c r="H846" s="15">
        <v>11000000</v>
      </c>
      <c r="I846" s="11">
        <v>1</v>
      </c>
      <c r="J846" s="16">
        <v>3.645833333333333E-3</v>
      </c>
      <c r="K846" s="11" t="s">
        <v>65</v>
      </c>
      <c r="L846" s="11" t="s">
        <v>43</v>
      </c>
      <c r="M846" s="11" t="s">
        <v>52</v>
      </c>
      <c r="N846" s="11" t="s">
        <v>27</v>
      </c>
      <c r="O846" s="11" t="s">
        <v>56</v>
      </c>
    </row>
    <row r="847" spans="2:15" ht="21" customHeight="1" x14ac:dyDescent="0.3">
      <c r="B847" s="4" t="s">
        <v>14</v>
      </c>
      <c r="C847" s="5">
        <v>3</v>
      </c>
      <c r="D847" s="6" t="s">
        <v>48</v>
      </c>
      <c r="E847" s="4" t="s">
        <v>30</v>
      </c>
      <c r="F847" s="4" t="s">
        <v>46</v>
      </c>
      <c r="G847" s="7">
        <v>2</v>
      </c>
      <c r="H847" s="1">
        <v>12000000</v>
      </c>
      <c r="I847" s="4">
        <v>4</v>
      </c>
      <c r="J847" s="8">
        <v>3.645833333333333E-3</v>
      </c>
      <c r="K847" s="4" t="s">
        <v>18</v>
      </c>
      <c r="L847" s="4" t="s">
        <v>38</v>
      </c>
      <c r="M847" s="4" t="s">
        <v>44</v>
      </c>
      <c r="N847" s="4" t="s">
        <v>21</v>
      </c>
      <c r="O847" s="4" t="s">
        <v>66</v>
      </c>
    </row>
    <row r="848" spans="2:15" ht="21" customHeight="1" x14ac:dyDescent="0.3">
      <c r="B848" s="11" t="s">
        <v>14</v>
      </c>
      <c r="C848" s="12">
        <v>7</v>
      </c>
      <c r="D848" s="13" t="s">
        <v>48</v>
      </c>
      <c r="E848" s="11" t="s">
        <v>30</v>
      </c>
      <c r="F848" s="11" t="s">
        <v>46</v>
      </c>
      <c r="G848" s="14">
        <v>3</v>
      </c>
      <c r="H848" s="15">
        <v>15000000</v>
      </c>
      <c r="I848" s="11">
        <v>5</v>
      </c>
      <c r="J848" s="16">
        <v>3.645833333333333E-3</v>
      </c>
      <c r="K848" s="11" t="s">
        <v>18</v>
      </c>
      <c r="L848" s="11" t="s">
        <v>60</v>
      </c>
      <c r="M848" s="11" t="s">
        <v>35</v>
      </c>
      <c r="N848" s="11" t="s">
        <v>27</v>
      </c>
      <c r="O848" s="11" t="s">
        <v>33</v>
      </c>
    </row>
    <row r="849" spans="2:15" ht="21" customHeight="1" x14ac:dyDescent="0.3">
      <c r="B849" s="4" t="s">
        <v>14</v>
      </c>
      <c r="C849" s="5">
        <v>19</v>
      </c>
      <c r="D849" s="6" t="s">
        <v>48</v>
      </c>
      <c r="E849" s="4" t="s">
        <v>53</v>
      </c>
      <c r="F849" s="4" t="s">
        <v>24</v>
      </c>
      <c r="G849" s="7">
        <v>3</v>
      </c>
      <c r="H849" s="1">
        <v>15000000</v>
      </c>
      <c r="I849" s="4">
        <v>3</v>
      </c>
      <c r="J849" s="8">
        <v>3.645833333333333E-3</v>
      </c>
      <c r="K849" s="4" t="s">
        <v>18</v>
      </c>
      <c r="L849" s="4" t="s">
        <v>31</v>
      </c>
      <c r="M849" s="4" t="s">
        <v>32</v>
      </c>
      <c r="N849" s="4" t="s">
        <v>21</v>
      </c>
      <c r="O849" s="4" t="s">
        <v>45</v>
      </c>
    </row>
    <row r="850" spans="2:15" ht="21" customHeight="1" x14ac:dyDescent="0.3">
      <c r="B850" s="11" t="s">
        <v>14</v>
      </c>
      <c r="C850" s="12">
        <v>13</v>
      </c>
      <c r="D850" s="13" t="s">
        <v>73</v>
      </c>
      <c r="E850" s="11" t="s">
        <v>16</v>
      </c>
      <c r="F850" s="11" t="s">
        <v>49</v>
      </c>
      <c r="G850" s="14">
        <v>2</v>
      </c>
      <c r="H850" s="15">
        <v>38000000</v>
      </c>
      <c r="I850" s="11">
        <v>2</v>
      </c>
      <c r="J850" s="16">
        <v>3.645833333333333E-3</v>
      </c>
      <c r="K850" s="11" t="s">
        <v>50</v>
      </c>
      <c r="L850" s="11" t="s">
        <v>43</v>
      </c>
      <c r="M850" s="11" t="s">
        <v>20</v>
      </c>
      <c r="N850" s="11" t="s">
        <v>39</v>
      </c>
      <c r="O850" s="11" t="s">
        <v>71</v>
      </c>
    </row>
    <row r="851" spans="2:15" ht="21" customHeight="1" x14ac:dyDescent="0.3">
      <c r="B851" s="4" t="s">
        <v>14</v>
      </c>
      <c r="C851" s="5">
        <v>14</v>
      </c>
      <c r="D851" s="6" t="s">
        <v>73</v>
      </c>
      <c r="E851" s="4" t="s">
        <v>30</v>
      </c>
      <c r="F851" s="4" t="s">
        <v>17</v>
      </c>
      <c r="G851" s="7">
        <v>2</v>
      </c>
      <c r="H851" s="1">
        <v>12000000</v>
      </c>
      <c r="I851" s="4">
        <v>2</v>
      </c>
      <c r="J851" s="8">
        <v>3.645833333333333E-3</v>
      </c>
      <c r="K851" s="4" t="s">
        <v>18</v>
      </c>
      <c r="L851" s="4" t="s">
        <v>25</v>
      </c>
      <c r="M851" s="4" t="s">
        <v>47</v>
      </c>
      <c r="N851" s="4" t="s">
        <v>27</v>
      </c>
      <c r="O851" s="4" t="s">
        <v>33</v>
      </c>
    </row>
    <row r="852" spans="2:15" ht="21" customHeight="1" x14ac:dyDescent="0.3">
      <c r="B852" s="11" t="s">
        <v>14</v>
      </c>
      <c r="C852" s="12">
        <v>8</v>
      </c>
      <c r="D852" s="13" t="s">
        <v>59</v>
      </c>
      <c r="E852" s="11" t="s">
        <v>34</v>
      </c>
      <c r="F852" s="11" t="s">
        <v>17</v>
      </c>
      <c r="G852" s="14">
        <v>3</v>
      </c>
      <c r="H852" s="15">
        <v>15000000</v>
      </c>
      <c r="I852" s="11">
        <v>5</v>
      </c>
      <c r="J852" s="16">
        <v>3.645833333333333E-3</v>
      </c>
      <c r="K852" s="11" t="s">
        <v>18</v>
      </c>
      <c r="L852" s="11" t="s">
        <v>60</v>
      </c>
      <c r="M852" s="11" t="s">
        <v>26</v>
      </c>
      <c r="N852" s="11" t="s">
        <v>21</v>
      </c>
      <c r="O852" s="11" t="s">
        <v>57</v>
      </c>
    </row>
    <row r="853" spans="2:15" ht="21" customHeight="1" x14ac:dyDescent="0.3">
      <c r="B853" s="4" t="s">
        <v>14</v>
      </c>
      <c r="C853" s="5">
        <v>12</v>
      </c>
      <c r="D853" s="6" t="s">
        <v>64</v>
      </c>
      <c r="E853" s="4" t="s">
        <v>34</v>
      </c>
      <c r="F853" s="4" t="s">
        <v>17</v>
      </c>
      <c r="G853" s="7">
        <v>5</v>
      </c>
      <c r="H853" s="1">
        <v>25000000</v>
      </c>
      <c r="I853" s="4">
        <v>1</v>
      </c>
      <c r="J853" s="8">
        <v>3.645833333333333E-3</v>
      </c>
      <c r="K853" s="4" t="s">
        <v>18</v>
      </c>
      <c r="L853" s="4" t="s">
        <v>68</v>
      </c>
      <c r="M853" s="4" t="s">
        <v>47</v>
      </c>
      <c r="N853" s="4" t="s">
        <v>27</v>
      </c>
      <c r="O853" s="4" t="s">
        <v>56</v>
      </c>
    </row>
    <row r="854" spans="2:15" ht="21" customHeight="1" x14ac:dyDescent="0.3">
      <c r="B854" s="11" t="s">
        <v>74</v>
      </c>
      <c r="C854" s="12">
        <v>29</v>
      </c>
      <c r="D854" s="13" t="s">
        <v>63</v>
      </c>
      <c r="E854" s="11" t="s">
        <v>30</v>
      </c>
      <c r="F854" s="11" t="s">
        <v>17</v>
      </c>
      <c r="G854" s="14">
        <v>0</v>
      </c>
      <c r="H854" s="15">
        <v>0</v>
      </c>
      <c r="I854" s="11">
        <v>2</v>
      </c>
      <c r="J854" s="16">
        <v>3.645833333333333E-3</v>
      </c>
      <c r="K854" s="11"/>
      <c r="L854" s="11"/>
      <c r="M854" s="11" t="s">
        <v>35</v>
      </c>
      <c r="N854" s="11" t="s">
        <v>36</v>
      </c>
      <c r="O854" s="11" t="s">
        <v>58</v>
      </c>
    </row>
    <row r="855" spans="2:15" ht="21" customHeight="1" x14ac:dyDescent="0.3">
      <c r="B855" s="4" t="s">
        <v>74</v>
      </c>
      <c r="C855" s="5">
        <v>5</v>
      </c>
      <c r="D855" s="6" t="s">
        <v>41</v>
      </c>
      <c r="E855" s="4" t="s">
        <v>34</v>
      </c>
      <c r="F855" s="4" t="s">
        <v>17</v>
      </c>
      <c r="G855" s="7">
        <v>0</v>
      </c>
      <c r="H855" s="1">
        <v>0</v>
      </c>
      <c r="I855" s="4">
        <v>5</v>
      </c>
      <c r="J855" s="8">
        <v>3.645833333333333E-3</v>
      </c>
      <c r="K855" s="4"/>
      <c r="L855" s="4"/>
      <c r="M855" s="4" t="s">
        <v>52</v>
      </c>
      <c r="N855" s="4" t="s">
        <v>21</v>
      </c>
      <c r="O855" s="4" t="s">
        <v>45</v>
      </c>
    </row>
    <row r="856" spans="2:15" ht="21" customHeight="1" x14ac:dyDescent="0.3">
      <c r="B856" s="11" t="s">
        <v>74</v>
      </c>
      <c r="C856" s="12">
        <v>10</v>
      </c>
      <c r="D856" s="13" t="s">
        <v>73</v>
      </c>
      <c r="E856" s="11" t="s">
        <v>16</v>
      </c>
      <c r="F856" s="11" t="s">
        <v>49</v>
      </c>
      <c r="G856" s="14">
        <v>0</v>
      </c>
      <c r="H856" s="15">
        <v>0</v>
      </c>
      <c r="I856" s="11">
        <v>3</v>
      </c>
      <c r="J856" s="16">
        <v>3.645833333333333E-3</v>
      </c>
      <c r="K856" s="11"/>
      <c r="L856" s="11"/>
      <c r="M856" s="11" t="s">
        <v>26</v>
      </c>
      <c r="N856" s="11" t="s">
        <v>21</v>
      </c>
      <c r="O856" s="11" t="s">
        <v>22</v>
      </c>
    </row>
    <row r="857" spans="2:15" ht="21" customHeight="1" x14ac:dyDescent="0.3">
      <c r="B857" s="4" t="s">
        <v>74</v>
      </c>
      <c r="C857" s="5">
        <v>5</v>
      </c>
      <c r="D857" s="6" t="s">
        <v>73</v>
      </c>
      <c r="E857" s="4" t="s">
        <v>30</v>
      </c>
      <c r="F857" s="4" t="s">
        <v>46</v>
      </c>
      <c r="G857" s="7">
        <v>0</v>
      </c>
      <c r="H857" s="1">
        <v>0</v>
      </c>
      <c r="I857" s="4">
        <v>5</v>
      </c>
      <c r="J857" s="8">
        <v>3.645833333333333E-3</v>
      </c>
      <c r="K857" s="4"/>
      <c r="L857" s="4"/>
      <c r="M857" s="4" t="s">
        <v>55</v>
      </c>
      <c r="N857" s="4" t="s">
        <v>27</v>
      </c>
      <c r="O857" s="4" t="s">
        <v>79</v>
      </c>
    </row>
    <row r="858" spans="2:15" ht="21" customHeight="1" x14ac:dyDescent="0.3">
      <c r="B858" s="11" t="s">
        <v>74</v>
      </c>
      <c r="C858" s="12">
        <v>29</v>
      </c>
      <c r="D858" s="13" t="s">
        <v>63</v>
      </c>
      <c r="E858" s="11" t="s">
        <v>30</v>
      </c>
      <c r="F858" s="11" t="s">
        <v>17</v>
      </c>
      <c r="G858" s="14">
        <v>0</v>
      </c>
      <c r="H858" s="15">
        <v>0</v>
      </c>
      <c r="I858" s="11">
        <v>2</v>
      </c>
      <c r="J858" s="16">
        <v>3.645833333333333E-3</v>
      </c>
      <c r="K858" s="11"/>
      <c r="L858" s="11"/>
      <c r="M858" s="11" t="s">
        <v>35</v>
      </c>
      <c r="N858" s="11" t="s">
        <v>36</v>
      </c>
      <c r="O858" s="11" t="s">
        <v>58</v>
      </c>
    </row>
    <row r="859" spans="2:15" ht="21" customHeight="1" x14ac:dyDescent="0.3">
      <c r="B859" s="4" t="s">
        <v>14</v>
      </c>
      <c r="C859" s="5">
        <v>18</v>
      </c>
      <c r="D859" s="6" t="s">
        <v>64</v>
      </c>
      <c r="E859" s="4" t="s">
        <v>16</v>
      </c>
      <c r="F859" s="4" t="s">
        <v>17</v>
      </c>
      <c r="G859" s="7">
        <v>5</v>
      </c>
      <c r="H859" s="1">
        <v>25000000</v>
      </c>
      <c r="I859" s="4">
        <v>5</v>
      </c>
      <c r="J859" s="8">
        <v>4.340277777777778E-3</v>
      </c>
      <c r="K859" s="4" t="s">
        <v>18</v>
      </c>
      <c r="L859" s="4" t="s">
        <v>54</v>
      </c>
      <c r="M859" s="4" t="s">
        <v>35</v>
      </c>
      <c r="N859" s="4" t="s">
        <v>21</v>
      </c>
      <c r="O859" s="4" t="s">
        <v>67</v>
      </c>
    </row>
    <row r="860" spans="2:15" ht="21" customHeight="1" x14ac:dyDescent="0.3">
      <c r="B860" s="11" t="s">
        <v>14</v>
      </c>
      <c r="C860" s="12">
        <v>12</v>
      </c>
      <c r="D860" s="13" t="s">
        <v>23</v>
      </c>
      <c r="E860" s="11" t="s">
        <v>42</v>
      </c>
      <c r="F860" s="11" t="s">
        <v>17</v>
      </c>
      <c r="G860" s="14">
        <v>3</v>
      </c>
      <c r="H860" s="15">
        <v>15000000</v>
      </c>
      <c r="I860" s="11">
        <v>4</v>
      </c>
      <c r="J860" s="16">
        <v>4.340277777777778E-3</v>
      </c>
      <c r="K860" s="11" t="s">
        <v>18</v>
      </c>
      <c r="L860" s="11" t="s">
        <v>51</v>
      </c>
      <c r="M860" s="11" t="s">
        <v>26</v>
      </c>
      <c r="N860" s="11" t="s">
        <v>36</v>
      </c>
      <c r="O860" s="11" t="s">
        <v>37</v>
      </c>
    </row>
    <row r="861" spans="2:15" ht="21" customHeight="1" x14ac:dyDescent="0.3">
      <c r="B861" s="4" t="s">
        <v>14</v>
      </c>
      <c r="C861" s="5">
        <v>30</v>
      </c>
      <c r="D861" s="6" t="s">
        <v>29</v>
      </c>
      <c r="E861" s="4" t="s">
        <v>77</v>
      </c>
      <c r="F861" s="4" t="s">
        <v>46</v>
      </c>
      <c r="G861" s="7">
        <v>4</v>
      </c>
      <c r="H861" s="1">
        <v>20000000</v>
      </c>
      <c r="I861" s="4">
        <v>5</v>
      </c>
      <c r="J861" s="8">
        <v>4.340277777777778E-3</v>
      </c>
      <c r="K861" s="4" t="s">
        <v>65</v>
      </c>
      <c r="L861" s="4" t="s">
        <v>19</v>
      </c>
      <c r="M861" s="4" t="s">
        <v>52</v>
      </c>
      <c r="N861" s="4" t="s">
        <v>39</v>
      </c>
      <c r="O861" s="4" t="s">
        <v>40</v>
      </c>
    </row>
    <row r="862" spans="2:15" ht="21" customHeight="1" x14ac:dyDescent="0.3">
      <c r="B862" s="11" t="s">
        <v>14</v>
      </c>
      <c r="C862" s="12">
        <v>16</v>
      </c>
      <c r="D862" s="13" t="s">
        <v>29</v>
      </c>
      <c r="E862" s="11" t="s">
        <v>77</v>
      </c>
      <c r="F862" s="11" t="s">
        <v>46</v>
      </c>
      <c r="G862" s="14">
        <v>3</v>
      </c>
      <c r="H862" s="15">
        <v>12000000</v>
      </c>
      <c r="I862" s="11">
        <v>2</v>
      </c>
      <c r="J862" s="16">
        <v>4.340277777777778E-3</v>
      </c>
      <c r="K862" s="11" t="s">
        <v>18</v>
      </c>
      <c r="L862" s="11" t="s">
        <v>31</v>
      </c>
      <c r="M862" s="11" t="s">
        <v>44</v>
      </c>
      <c r="N862" s="11" t="s">
        <v>39</v>
      </c>
      <c r="O862" s="11" t="s">
        <v>40</v>
      </c>
    </row>
    <row r="863" spans="2:15" ht="21" customHeight="1" x14ac:dyDescent="0.3">
      <c r="B863" s="4" t="s">
        <v>14</v>
      </c>
      <c r="C863" s="5">
        <v>28</v>
      </c>
      <c r="D863" s="6" t="s">
        <v>29</v>
      </c>
      <c r="E863" s="4" t="s">
        <v>42</v>
      </c>
      <c r="F863" s="4" t="s">
        <v>17</v>
      </c>
      <c r="G863" s="7">
        <v>2</v>
      </c>
      <c r="H863" s="1">
        <v>12000000</v>
      </c>
      <c r="I863" s="4">
        <v>2</v>
      </c>
      <c r="J863" s="8">
        <v>4.340277777777778E-3</v>
      </c>
      <c r="K863" s="4" t="s">
        <v>18</v>
      </c>
      <c r="L863" s="4" t="s">
        <v>38</v>
      </c>
      <c r="M863" s="4" t="s">
        <v>35</v>
      </c>
      <c r="N863" s="4" t="s">
        <v>21</v>
      </c>
      <c r="O863" s="4" t="s">
        <v>57</v>
      </c>
    </row>
    <row r="864" spans="2:15" ht="21" customHeight="1" x14ac:dyDescent="0.3">
      <c r="B864" s="11" t="s">
        <v>14</v>
      </c>
      <c r="C864" s="12">
        <v>7</v>
      </c>
      <c r="D864" s="13" t="s">
        <v>41</v>
      </c>
      <c r="E864" s="11" t="s">
        <v>16</v>
      </c>
      <c r="F864" s="11" t="s">
        <v>17</v>
      </c>
      <c r="G864" s="14">
        <v>2</v>
      </c>
      <c r="H864" s="15">
        <v>10000000</v>
      </c>
      <c r="I864" s="11">
        <v>1</v>
      </c>
      <c r="J864" s="16">
        <v>4.340277777777778E-3</v>
      </c>
      <c r="K864" s="11" t="s">
        <v>18</v>
      </c>
      <c r="L864" s="11" t="s">
        <v>19</v>
      </c>
      <c r="M864" s="11" t="s">
        <v>32</v>
      </c>
      <c r="N864" s="11" t="s">
        <v>36</v>
      </c>
      <c r="O864" s="11" t="s">
        <v>58</v>
      </c>
    </row>
    <row r="865" spans="2:15" ht="21" customHeight="1" x14ac:dyDescent="0.3">
      <c r="B865" s="4" t="s">
        <v>14</v>
      </c>
      <c r="C865" s="5">
        <v>9</v>
      </c>
      <c r="D865" s="6" t="s">
        <v>41</v>
      </c>
      <c r="E865" s="4" t="s">
        <v>16</v>
      </c>
      <c r="F865" s="4" t="s">
        <v>17</v>
      </c>
      <c r="G865" s="7">
        <v>1</v>
      </c>
      <c r="H865" s="1">
        <v>7000000</v>
      </c>
      <c r="I865" s="4">
        <v>4</v>
      </c>
      <c r="J865" s="8">
        <v>4.340277777777778E-3</v>
      </c>
      <c r="K865" s="4" t="s">
        <v>18</v>
      </c>
      <c r="L865" s="4" t="s">
        <v>31</v>
      </c>
      <c r="M865" s="4" t="s">
        <v>44</v>
      </c>
      <c r="N865" s="4" t="s">
        <v>27</v>
      </c>
      <c r="O865" s="4" t="s">
        <v>33</v>
      </c>
    </row>
    <row r="866" spans="2:15" ht="21" customHeight="1" x14ac:dyDescent="0.3">
      <c r="B866" s="11" t="s">
        <v>14</v>
      </c>
      <c r="C866" s="12">
        <v>18</v>
      </c>
      <c r="D866" s="13" t="s">
        <v>41</v>
      </c>
      <c r="E866" s="11" t="s">
        <v>42</v>
      </c>
      <c r="F866" s="11" t="s">
        <v>46</v>
      </c>
      <c r="G866" s="14">
        <v>3</v>
      </c>
      <c r="H866" s="15">
        <v>15000000</v>
      </c>
      <c r="I866" s="11">
        <v>1</v>
      </c>
      <c r="J866" s="16">
        <v>4.340277777777778E-3</v>
      </c>
      <c r="K866" s="11" t="s">
        <v>18</v>
      </c>
      <c r="L866" s="11" t="s">
        <v>60</v>
      </c>
      <c r="M866" s="11" t="s">
        <v>47</v>
      </c>
      <c r="N866" s="11" t="s">
        <v>27</v>
      </c>
      <c r="O866" s="11" t="s">
        <v>33</v>
      </c>
    </row>
    <row r="867" spans="2:15" ht="21" customHeight="1" x14ac:dyDescent="0.3">
      <c r="B867" s="4" t="s">
        <v>14</v>
      </c>
      <c r="C867" s="5">
        <v>4</v>
      </c>
      <c r="D867" s="6" t="s">
        <v>48</v>
      </c>
      <c r="E867" s="4" t="s">
        <v>16</v>
      </c>
      <c r="F867" s="4" t="s">
        <v>46</v>
      </c>
      <c r="G867" s="7">
        <v>2</v>
      </c>
      <c r="H867" s="1">
        <v>38000000</v>
      </c>
      <c r="I867" s="4">
        <v>5</v>
      </c>
      <c r="J867" s="8">
        <v>4.340277777777778E-3</v>
      </c>
      <c r="K867" s="4" t="s">
        <v>50</v>
      </c>
      <c r="L867" s="4" t="s">
        <v>31</v>
      </c>
      <c r="M867" s="4" t="s">
        <v>20</v>
      </c>
      <c r="N867" s="4" t="s">
        <v>27</v>
      </c>
      <c r="O867" s="4" t="s">
        <v>33</v>
      </c>
    </row>
    <row r="868" spans="2:15" ht="21" customHeight="1" x14ac:dyDescent="0.3">
      <c r="B868" s="11" t="s">
        <v>14</v>
      </c>
      <c r="C868" s="12">
        <v>23</v>
      </c>
      <c r="D868" s="13" t="s">
        <v>48</v>
      </c>
      <c r="E868" s="11" t="s">
        <v>16</v>
      </c>
      <c r="F868" s="11" t="s">
        <v>46</v>
      </c>
      <c r="G868" s="14">
        <v>2</v>
      </c>
      <c r="H868" s="15">
        <v>12000000</v>
      </c>
      <c r="I868" s="11">
        <v>2</v>
      </c>
      <c r="J868" s="16">
        <v>4.340277777777778E-3</v>
      </c>
      <c r="K868" s="11" t="s">
        <v>18</v>
      </c>
      <c r="L868" s="11" t="s">
        <v>43</v>
      </c>
      <c r="M868" s="11" t="s">
        <v>47</v>
      </c>
      <c r="N868" s="11" t="s">
        <v>27</v>
      </c>
      <c r="O868" s="11" t="s">
        <v>79</v>
      </c>
    </row>
    <row r="869" spans="2:15" ht="21" customHeight="1" x14ac:dyDescent="0.3">
      <c r="B869" s="4" t="s">
        <v>14</v>
      </c>
      <c r="C869" s="5">
        <v>31</v>
      </c>
      <c r="D869" s="6" t="s">
        <v>73</v>
      </c>
      <c r="E869" s="4" t="s">
        <v>34</v>
      </c>
      <c r="F869" s="4" t="s">
        <v>24</v>
      </c>
      <c r="G869" s="7">
        <v>1</v>
      </c>
      <c r="H869" s="1">
        <v>19000000</v>
      </c>
      <c r="I869" s="4">
        <v>3</v>
      </c>
      <c r="J869" s="8">
        <v>4.340277777777778E-3</v>
      </c>
      <c r="K869" s="4" t="s">
        <v>50</v>
      </c>
      <c r="L869" s="4" t="s">
        <v>25</v>
      </c>
      <c r="M869" s="4" t="s">
        <v>32</v>
      </c>
      <c r="N869" s="4" t="s">
        <v>21</v>
      </c>
      <c r="O869" s="4" t="s">
        <v>57</v>
      </c>
    </row>
    <row r="870" spans="2:15" ht="21" customHeight="1" x14ac:dyDescent="0.3">
      <c r="B870" s="11" t="s">
        <v>14</v>
      </c>
      <c r="C870" s="12">
        <v>18</v>
      </c>
      <c r="D870" s="13" t="s">
        <v>64</v>
      </c>
      <c r="E870" s="11" t="s">
        <v>16</v>
      </c>
      <c r="F870" s="11" t="s">
        <v>17</v>
      </c>
      <c r="G870" s="14">
        <v>5</v>
      </c>
      <c r="H870" s="15">
        <v>25000000</v>
      </c>
      <c r="I870" s="11">
        <v>5</v>
      </c>
      <c r="J870" s="16">
        <v>4.340277777777778E-3</v>
      </c>
      <c r="K870" s="11" t="s">
        <v>18</v>
      </c>
      <c r="L870" s="11" t="s">
        <v>54</v>
      </c>
      <c r="M870" s="11" t="s">
        <v>35</v>
      </c>
      <c r="N870" s="11" t="s">
        <v>21</v>
      </c>
      <c r="O870" s="11" t="s">
        <v>67</v>
      </c>
    </row>
    <row r="871" spans="2:15" ht="21" customHeight="1" x14ac:dyDescent="0.3">
      <c r="B871" s="4" t="s">
        <v>74</v>
      </c>
      <c r="C871" s="5">
        <v>15</v>
      </c>
      <c r="D871" s="6" t="s">
        <v>29</v>
      </c>
      <c r="E871" s="4" t="s">
        <v>34</v>
      </c>
      <c r="F871" s="4" t="s">
        <v>46</v>
      </c>
      <c r="G871" s="7">
        <v>0</v>
      </c>
      <c r="H871" s="1">
        <v>0</v>
      </c>
      <c r="I871" s="4">
        <v>1</v>
      </c>
      <c r="J871" s="8">
        <v>4.340277777777778E-3</v>
      </c>
      <c r="K871" s="4"/>
      <c r="L871" s="4"/>
      <c r="M871" s="4" t="s">
        <v>47</v>
      </c>
      <c r="N871" s="4" t="s">
        <v>21</v>
      </c>
      <c r="O871" s="4" t="s">
        <v>57</v>
      </c>
    </row>
    <row r="872" spans="2:15" ht="21" customHeight="1" x14ac:dyDescent="0.3">
      <c r="B872" s="11" t="s">
        <v>74</v>
      </c>
      <c r="C872" s="12">
        <v>15</v>
      </c>
      <c r="D872" s="13" t="s">
        <v>73</v>
      </c>
      <c r="E872" s="11" t="s">
        <v>30</v>
      </c>
      <c r="F872" s="11" t="s">
        <v>46</v>
      </c>
      <c r="G872" s="14">
        <v>0</v>
      </c>
      <c r="H872" s="15">
        <v>0</v>
      </c>
      <c r="I872" s="11">
        <v>1</v>
      </c>
      <c r="J872" s="16">
        <v>4.340277777777778E-3</v>
      </c>
      <c r="K872" s="11"/>
      <c r="L872" s="11"/>
      <c r="M872" s="11" t="s">
        <v>55</v>
      </c>
      <c r="N872" s="11" t="s">
        <v>21</v>
      </c>
      <c r="O872" s="11" t="s">
        <v>45</v>
      </c>
    </row>
    <row r="873" spans="2:15" ht="21" customHeight="1" x14ac:dyDescent="0.3">
      <c r="B873" s="4" t="s">
        <v>14</v>
      </c>
      <c r="C873" s="5">
        <v>1</v>
      </c>
      <c r="D873" s="6" t="s">
        <v>63</v>
      </c>
      <c r="E873" s="4" t="s">
        <v>16</v>
      </c>
      <c r="F873" s="4" t="s">
        <v>46</v>
      </c>
      <c r="G873" s="7">
        <v>5</v>
      </c>
      <c r="H873" s="1">
        <v>25000000</v>
      </c>
      <c r="I873" s="4">
        <v>1</v>
      </c>
      <c r="J873" s="8">
        <v>4.3749999999999995E-3</v>
      </c>
      <c r="K873" s="4" t="s">
        <v>18</v>
      </c>
      <c r="L873" s="4" t="s">
        <v>19</v>
      </c>
      <c r="M873" s="4" t="s">
        <v>55</v>
      </c>
      <c r="N873" s="4" t="s">
        <v>21</v>
      </c>
      <c r="O873" s="4" t="s">
        <v>66</v>
      </c>
    </row>
    <row r="874" spans="2:15" ht="21" customHeight="1" x14ac:dyDescent="0.3">
      <c r="B874" s="11" t="s">
        <v>14</v>
      </c>
      <c r="C874" s="12">
        <v>7</v>
      </c>
      <c r="D874" s="13" t="s">
        <v>76</v>
      </c>
      <c r="E874" s="11" t="s">
        <v>42</v>
      </c>
      <c r="F874" s="11" t="s">
        <v>46</v>
      </c>
      <c r="G874" s="14">
        <v>1</v>
      </c>
      <c r="H874" s="15">
        <v>19000000</v>
      </c>
      <c r="I874" s="11">
        <v>6</v>
      </c>
      <c r="J874" s="16">
        <v>4.3749999999999995E-3</v>
      </c>
      <c r="K874" s="11" t="s">
        <v>50</v>
      </c>
      <c r="L874" s="11" t="s">
        <v>31</v>
      </c>
      <c r="M874" s="11" t="s">
        <v>20</v>
      </c>
      <c r="N874" s="11" t="s">
        <v>21</v>
      </c>
      <c r="O874" s="11" t="s">
        <v>22</v>
      </c>
    </row>
    <row r="875" spans="2:15" ht="21" customHeight="1" x14ac:dyDescent="0.3">
      <c r="B875" s="4" t="s">
        <v>14</v>
      </c>
      <c r="C875" s="5">
        <v>27</v>
      </c>
      <c r="D875" s="6" t="s">
        <v>29</v>
      </c>
      <c r="E875" s="4" t="s">
        <v>34</v>
      </c>
      <c r="F875" s="4" t="s">
        <v>24</v>
      </c>
      <c r="G875" s="7">
        <v>2</v>
      </c>
      <c r="H875" s="1">
        <v>38000000</v>
      </c>
      <c r="I875" s="4">
        <v>3</v>
      </c>
      <c r="J875" s="8">
        <v>4.3749999999999995E-3</v>
      </c>
      <c r="K875" s="4" t="s">
        <v>50</v>
      </c>
      <c r="L875" s="4" t="s">
        <v>60</v>
      </c>
      <c r="M875" s="4" t="s">
        <v>35</v>
      </c>
      <c r="N875" s="4" t="s">
        <v>27</v>
      </c>
      <c r="O875" s="4" t="s">
        <v>33</v>
      </c>
    </row>
    <row r="876" spans="2:15" ht="21" customHeight="1" x14ac:dyDescent="0.3">
      <c r="B876" s="11" t="s">
        <v>14</v>
      </c>
      <c r="C876" s="12">
        <v>12</v>
      </c>
      <c r="D876" s="13" t="s">
        <v>29</v>
      </c>
      <c r="E876" s="11" t="s">
        <v>16</v>
      </c>
      <c r="F876" s="11" t="s">
        <v>24</v>
      </c>
      <c r="G876" s="14">
        <v>1</v>
      </c>
      <c r="H876" s="15">
        <v>7000000</v>
      </c>
      <c r="I876" s="11">
        <v>1</v>
      </c>
      <c r="J876" s="16">
        <v>4.3749999999999995E-3</v>
      </c>
      <c r="K876" s="11" t="s">
        <v>18</v>
      </c>
      <c r="L876" s="11" t="s">
        <v>60</v>
      </c>
      <c r="M876" s="11" t="s">
        <v>55</v>
      </c>
      <c r="N876" s="11" t="s">
        <v>27</v>
      </c>
      <c r="O876" s="11" t="s">
        <v>79</v>
      </c>
    </row>
    <row r="877" spans="2:15" ht="21" customHeight="1" x14ac:dyDescent="0.3">
      <c r="B877" s="4" t="s">
        <v>14</v>
      </c>
      <c r="C877" s="5">
        <v>11</v>
      </c>
      <c r="D877" s="6" t="s">
        <v>41</v>
      </c>
      <c r="E877" s="4" t="s">
        <v>16</v>
      </c>
      <c r="F877" s="4" t="s">
        <v>24</v>
      </c>
      <c r="G877" s="7">
        <v>2</v>
      </c>
      <c r="H877" s="1">
        <v>12000000</v>
      </c>
      <c r="I877" s="4">
        <v>3</v>
      </c>
      <c r="J877" s="8">
        <v>4.3749999999999995E-3</v>
      </c>
      <c r="K877" s="4" t="s">
        <v>18</v>
      </c>
      <c r="L877" s="4" t="s">
        <v>54</v>
      </c>
      <c r="M877" s="4" t="s">
        <v>35</v>
      </c>
      <c r="N877" s="4" t="s">
        <v>39</v>
      </c>
      <c r="O877" s="4" t="s">
        <v>40</v>
      </c>
    </row>
    <row r="878" spans="2:15" ht="21" customHeight="1" x14ac:dyDescent="0.3">
      <c r="B878" s="11" t="s">
        <v>14</v>
      </c>
      <c r="C878" s="12">
        <v>29</v>
      </c>
      <c r="D878" s="13" t="s">
        <v>41</v>
      </c>
      <c r="E878" s="11" t="s">
        <v>16</v>
      </c>
      <c r="F878" s="11" t="s">
        <v>46</v>
      </c>
      <c r="G878" s="14">
        <v>3</v>
      </c>
      <c r="H878" s="15">
        <v>12000000</v>
      </c>
      <c r="I878" s="11">
        <v>5</v>
      </c>
      <c r="J878" s="16">
        <v>4.3749999999999995E-3</v>
      </c>
      <c r="K878" s="11" t="s">
        <v>18</v>
      </c>
      <c r="L878" s="11" t="s">
        <v>68</v>
      </c>
      <c r="M878" s="11" t="s">
        <v>35</v>
      </c>
      <c r="N878" s="11" t="s">
        <v>39</v>
      </c>
      <c r="O878" s="11" t="s">
        <v>40</v>
      </c>
    </row>
    <row r="879" spans="2:15" ht="21" customHeight="1" x14ac:dyDescent="0.3">
      <c r="B879" s="4" t="s">
        <v>14</v>
      </c>
      <c r="C879" s="5">
        <v>31</v>
      </c>
      <c r="D879" s="6" t="s">
        <v>41</v>
      </c>
      <c r="E879" s="4" t="s">
        <v>42</v>
      </c>
      <c r="F879" s="4" t="s">
        <v>46</v>
      </c>
      <c r="G879" s="7">
        <v>3</v>
      </c>
      <c r="H879" s="1">
        <v>15000000</v>
      </c>
      <c r="I879" s="4">
        <v>1</v>
      </c>
      <c r="J879" s="8">
        <v>4.3749999999999995E-3</v>
      </c>
      <c r="K879" s="4" t="s">
        <v>18</v>
      </c>
      <c r="L879" s="4" t="s">
        <v>38</v>
      </c>
      <c r="M879" s="4" t="s">
        <v>55</v>
      </c>
      <c r="N879" s="4" t="s">
        <v>27</v>
      </c>
      <c r="O879" s="4" t="s">
        <v>33</v>
      </c>
    </row>
    <row r="880" spans="2:15" ht="21" customHeight="1" x14ac:dyDescent="0.3">
      <c r="B880" s="11" t="s">
        <v>14</v>
      </c>
      <c r="C880" s="12">
        <v>22</v>
      </c>
      <c r="D880" s="13" t="s">
        <v>48</v>
      </c>
      <c r="E880" s="11" t="s">
        <v>34</v>
      </c>
      <c r="F880" s="11" t="s">
        <v>24</v>
      </c>
      <c r="G880" s="14">
        <v>2</v>
      </c>
      <c r="H880" s="15">
        <v>12000000</v>
      </c>
      <c r="I880" s="11">
        <v>6</v>
      </c>
      <c r="J880" s="16">
        <v>4.3749999999999995E-3</v>
      </c>
      <c r="K880" s="11" t="s">
        <v>18</v>
      </c>
      <c r="L880" s="11" t="s">
        <v>19</v>
      </c>
      <c r="M880" s="11" t="s">
        <v>35</v>
      </c>
      <c r="N880" s="11" t="s">
        <v>36</v>
      </c>
      <c r="O880" s="11" t="s">
        <v>69</v>
      </c>
    </row>
    <row r="881" spans="2:15" ht="21" customHeight="1" x14ac:dyDescent="0.3">
      <c r="B881" s="4" t="s">
        <v>14</v>
      </c>
      <c r="C881" s="5">
        <v>1</v>
      </c>
      <c r="D881" s="6" t="s">
        <v>48</v>
      </c>
      <c r="E881" s="4" t="s">
        <v>53</v>
      </c>
      <c r="F881" s="4" t="s">
        <v>46</v>
      </c>
      <c r="G881" s="7">
        <v>3</v>
      </c>
      <c r="H881" s="1">
        <v>15000000</v>
      </c>
      <c r="I881" s="4">
        <v>3</v>
      </c>
      <c r="J881" s="8">
        <v>4.3749999999999995E-3</v>
      </c>
      <c r="K881" s="4" t="s">
        <v>18</v>
      </c>
      <c r="L881" s="4" t="s">
        <v>31</v>
      </c>
      <c r="M881" s="4" t="s">
        <v>47</v>
      </c>
      <c r="N881" s="4" t="s">
        <v>27</v>
      </c>
      <c r="O881" s="4" t="s">
        <v>56</v>
      </c>
    </row>
    <row r="882" spans="2:15" ht="21" customHeight="1" x14ac:dyDescent="0.3">
      <c r="B882" s="11" t="s">
        <v>14</v>
      </c>
      <c r="C882" s="12">
        <v>25</v>
      </c>
      <c r="D882" s="13" t="s">
        <v>73</v>
      </c>
      <c r="E882" s="11" t="s">
        <v>34</v>
      </c>
      <c r="F882" s="11" t="s">
        <v>24</v>
      </c>
      <c r="G882" s="14">
        <v>4</v>
      </c>
      <c r="H882" s="15">
        <v>20000000</v>
      </c>
      <c r="I882" s="11">
        <v>4</v>
      </c>
      <c r="J882" s="16">
        <v>4.3749999999999995E-3</v>
      </c>
      <c r="K882" s="11" t="s">
        <v>65</v>
      </c>
      <c r="L882" s="11" t="s">
        <v>60</v>
      </c>
      <c r="M882" s="11" t="s">
        <v>32</v>
      </c>
      <c r="N882" s="11" t="s">
        <v>21</v>
      </c>
      <c r="O882" s="11" t="s">
        <v>57</v>
      </c>
    </row>
    <row r="883" spans="2:15" ht="21" customHeight="1" x14ac:dyDescent="0.3">
      <c r="B883" s="4" t="s">
        <v>14</v>
      </c>
      <c r="C883" s="5">
        <v>1</v>
      </c>
      <c r="D883" s="6" t="s">
        <v>63</v>
      </c>
      <c r="E883" s="4" t="s">
        <v>16</v>
      </c>
      <c r="F883" s="4" t="s">
        <v>46</v>
      </c>
      <c r="G883" s="7">
        <v>5</v>
      </c>
      <c r="H883" s="1">
        <v>25000000</v>
      </c>
      <c r="I883" s="4">
        <v>1</v>
      </c>
      <c r="J883" s="8">
        <v>4.3749999999999995E-3</v>
      </c>
      <c r="K883" s="4" t="s">
        <v>18</v>
      </c>
      <c r="L883" s="4" t="s">
        <v>19</v>
      </c>
      <c r="M883" s="4" t="s">
        <v>55</v>
      </c>
      <c r="N883" s="4" t="s">
        <v>21</v>
      </c>
      <c r="O883" s="4" t="s">
        <v>66</v>
      </c>
    </row>
    <row r="884" spans="2:15" ht="21" customHeight="1" x14ac:dyDescent="0.3">
      <c r="B884" s="11" t="s">
        <v>14</v>
      </c>
      <c r="C884" s="12">
        <v>7</v>
      </c>
      <c r="D884" s="13" t="s">
        <v>76</v>
      </c>
      <c r="E884" s="11" t="s">
        <v>42</v>
      </c>
      <c r="F884" s="11" t="s">
        <v>46</v>
      </c>
      <c r="G884" s="14">
        <v>1</v>
      </c>
      <c r="H884" s="15">
        <v>19000000</v>
      </c>
      <c r="I884" s="11">
        <v>6</v>
      </c>
      <c r="J884" s="16">
        <v>4.3749999999999995E-3</v>
      </c>
      <c r="K884" s="11" t="s">
        <v>50</v>
      </c>
      <c r="L884" s="11" t="s">
        <v>31</v>
      </c>
      <c r="M884" s="11" t="s">
        <v>20</v>
      </c>
      <c r="N884" s="11" t="s">
        <v>21</v>
      </c>
      <c r="O884" s="11" t="s">
        <v>22</v>
      </c>
    </row>
    <row r="885" spans="2:15" ht="21" customHeight="1" x14ac:dyDescent="0.3">
      <c r="B885" s="4" t="s">
        <v>74</v>
      </c>
      <c r="C885" s="5">
        <v>7</v>
      </c>
      <c r="D885" s="6" t="s">
        <v>41</v>
      </c>
      <c r="E885" s="4" t="s">
        <v>34</v>
      </c>
      <c r="F885" s="4" t="s">
        <v>24</v>
      </c>
      <c r="G885" s="7">
        <v>0</v>
      </c>
      <c r="H885" s="1">
        <v>0</v>
      </c>
      <c r="I885" s="4">
        <v>1</v>
      </c>
      <c r="J885" s="8">
        <v>4.3749999999999995E-3</v>
      </c>
      <c r="K885" s="4"/>
      <c r="L885" s="4"/>
      <c r="M885" s="4" t="s">
        <v>32</v>
      </c>
      <c r="N885" s="4" t="s">
        <v>21</v>
      </c>
      <c r="O885" s="4" t="s">
        <v>67</v>
      </c>
    </row>
    <row r="886" spans="2:15" ht="21" customHeight="1" x14ac:dyDescent="0.3">
      <c r="B886" s="11" t="s">
        <v>74</v>
      </c>
      <c r="C886" s="12">
        <v>16</v>
      </c>
      <c r="D886" s="13" t="s">
        <v>48</v>
      </c>
      <c r="E886" s="11" t="s">
        <v>16</v>
      </c>
      <c r="F886" s="11" t="s">
        <v>17</v>
      </c>
      <c r="G886" s="14">
        <v>0</v>
      </c>
      <c r="H886" s="15">
        <v>0</v>
      </c>
      <c r="I886" s="11">
        <v>1</v>
      </c>
      <c r="J886" s="16">
        <v>4.3749999999999995E-3</v>
      </c>
      <c r="K886" s="11"/>
      <c r="L886" s="11"/>
      <c r="M886" s="11" t="s">
        <v>52</v>
      </c>
      <c r="N886" s="11" t="s">
        <v>36</v>
      </c>
      <c r="O886" s="11" t="s">
        <v>58</v>
      </c>
    </row>
    <row r="887" spans="2:15" ht="21" customHeight="1" x14ac:dyDescent="0.3">
      <c r="B887" s="4" t="s">
        <v>74</v>
      </c>
      <c r="C887" s="5">
        <v>11</v>
      </c>
      <c r="D887" s="6" t="s">
        <v>73</v>
      </c>
      <c r="E887" s="4" t="s">
        <v>34</v>
      </c>
      <c r="F887" s="4" t="s">
        <v>24</v>
      </c>
      <c r="G887" s="7">
        <v>0</v>
      </c>
      <c r="H887" s="1">
        <v>0</v>
      </c>
      <c r="I887" s="4">
        <v>2</v>
      </c>
      <c r="J887" s="8">
        <v>4.3749999999999995E-3</v>
      </c>
      <c r="K887" s="4"/>
      <c r="L887" s="4"/>
      <c r="M887" s="4" t="s">
        <v>44</v>
      </c>
      <c r="N887" s="4" t="s">
        <v>27</v>
      </c>
      <c r="O887" s="4" t="s">
        <v>28</v>
      </c>
    </row>
    <row r="888" spans="2:15" ht="21" customHeight="1" x14ac:dyDescent="0.3">
      <c r="B888" s="11" t="s">
        <v>14</v>
      </c>
      <c r="C888" s="12">
        <v>17</v>
      </c>
      <c r="D888" s="13" t="s">
        <v>61</v>
      </c>
      <c r="E888" s="11" t="s">
        <v>42</v>
      </c>
      <c r="F888" s="11" t="s">
        <v>46</v>
      </c>
      <c r="G888" s="14">
        <v>4</v>
      </c>
      <c r="H888" s="15">
        <v>15000000</v>
      </c>
      <c r="I888" s="11">
        <v>2</v>
      </c>
      <c r="J888" s="16">
        <v>4.3981481481481484E-3</v>
      </c>
      <c r="K888" s="11" t="s">
        <v>18</v>
      </c>
      <c r="L888" s="11" t="s">
        <v>68</v>
      </c>
      <c r="M888" s="11" t="s">
        <v>32</v>
      </c>
      <c r="N888" s="11" t="s">
        <v>36</v>
      </c>
      <c r="O888" s="11" t="s">
        <v>69</v>
      </c>
    </row>
    <row r="889" spans="2:15" ht="21" customHeight="1" x14ac:dyDescent="0.3">
      <c r="B889" s="4" t="s">
        <v>14</v>
      </c>
      <c r="C889" s="5">
        <v>27</v>
      </c>
      <c r="D889" s="6" t="s">
        <v>41</v>
      </c>
      <c r="E889" s="4" t="s">
        <v>34</v>
      </c>
      <c r="F889" s="4" t="s">
        <v>46</v>
      </c>
      <c r="G889" s="7">
        <v>1</v>
      </c>
      <c r="H889" s="1">
        <v>19000000</v>
      </c>
      <c r="I889" s="4">
        <v>2</v>
      </c>
      <c r="J889" s="8">
        <v>4.3981481481481484E-3</v>
      </c>
      <c r="K889" s="4" t="s">
        <v>50</v>
      </c>
      <c r="L889" s="4" t="s">
        <v>19</v>
      </c>
      <c r="M889" s="4" t="s">
        <v>35</v>
      </c>
      <c r="N889" s="4" t="s">
        <v>27</v>
      </c>
      <c r="O889" s="4" t="s">
        <v>28</v>
      </c>
    </row>
    <row r="890" spans="2:15" ht="21" customHeight="1" x14ac:dyDescent="0.3">
      <c r="B890" s="11" t="s">
        <v>14</v>
      </c>
      <c r="C890" s="12">
        <v>22</v>
      </c>
      <c r="D890" s="13" t="s">
        <v>41</v>
      </c>
      <c r="E890" s="11" t="s">
        <v>16</v>
      </c>
      <c r="F890" s="11" t="s">
        <v>24</v>
      </c>
      <c r="G890" s="14">
        <v>2</v>
      </c>
      <c r="H890" s="15">
        <v>38000000</v>
      </c>
      <c r="I890" s="11">
        <v>1</v>
      </c>
      <c r="J890" s="16">
        <v>4.3981481481481484E-3</v>
      </c>
      <c r="K890" s="11" t="s">
        <v>50</v>
      </c>
      <c r="L890" s="11" t="s">
        <v>60</v>
      </c>
      <c r="M890" s="11" t="s">
        <v>55</v>
      </c>
      <c r="N890" s="11" t="s">
        <v>39</v>
      </c>
      <c r="O890" s="11" t="s">
        <v>71</v>
      </c>
    </row>
    <row r="891" spans="2:15" ht="21" customHeight="1" x14ac:dyDescent="0.3">
      <c r="B891" s="4" t="s">
        <v>14</v>
      </c>
      <c r="C891" s="5">
        <v>31</v>
      </c>
      <c r="D891" s="6" t="s">
        <v>41</v>
      </c>
      <c r="E891" s="4" t="s">
        <v>34</v>
      </c>
      <c r="F891" s="4" t="s">
        <v>24</v>
      </c>
      <c r="G891" s="7">
        <v>4</v>
      </c>
      <c r="H891" s="1">
        <v>20000000</v>
      </c>
      <c r="I891" s="4">
        <v>1</v>
      </c>
      <c r="J891" s="8">
        <v>4.3981481481481484E-3</v>
      </c>
      <c r="K891" s="4" t="s">
        <v>65</v>
      </c>
      <c r="L891" s="4" t="s">
        <v>54</v>
      </c>
      <c r="M891" s="4" t="s">
        <v>47</v>
      </c>
      <c r="N891" s="4" t="s">
        <v>21</v>
      </c>
      <c r="O891" s="4" t="s">
        <v>66</v>
      </c>
    </row>
    <row r="892" spans="2:15" ht="21" customHeight="1" x14ac:dyDescent="0.3">
      <c r="B892" s="11" t="s">
        <v>14</v>
      </c>
      <c r="C892" s="12">
        <v>10</v>
      </c>
      <c r="D892" s="13" t="s">
        <v>41</v>
      </c>
      <c r="E892" s="11" t="s">
        <v>16</v>
      </c>
      <c r="F892" s="11" t="s">
        <v>24</v>
      </c>
      <c r="G892" s="14">
        <v>5</v>
      </c>
      <c r="H892" s="15">
        <v>25000000</v>
      </c>
      <c r="I892" s="11">
        <v>3</v>
      </c>
      <c r="J892" s="16">
        <v>4.3981481481481484E-3</v>
      </c>
      <c r="K892" s="11" t="s">
        <v>18</v>
      </c>
      <c r="L892" s="11" t="s">
        <v>31</v>
      </c>
      <c r="M892" s="11" t="s">
        <v>32</v>
      </c>
      <c r="N892" s="11" t="s">
        <v>27</v>
      </c>
      <c r="O892" s="11" t="s">
        <v>28</v>
      </c>
    </row>
    <row r="893" spans="2:15" ht="21" customHeight="1" x14ac:dyDescent="0.3">
      <c r="B893" s="4" t="s">
        <v>14</v>
      </c>
      <c r="C893" s="5">
        <v>29</v>
      </c>
      <c r="D893" s="6" t="s">
        <v>41</v>
      </c>
      <c r="E893" s="4" t="s">
        <v>16</v>
      </c>
      <c r="F893" s="4" t="s">
        <v>24</v>
      </c>
      <c r="G893" s="7">
        <v>2</v>
      </c>
      <c r="H893" s="1">
        <v>10000000</v>
      </c>
      <c r="I893" s="4">
        <v>1</v>
      </c>
      <c r="J893" s="8">
        <v>4.3981481481481484E-3</v>
      </c>
      <c r="K893" s="4" t="s">
        <v>18</v>
      </c>
      <c r="L893" s="4" t="s">
        <v>31</v>
      </c>
      <c r="M893" s="4" t="s">
        <v>55</v>
      </c>
      <c r="N893" s="4" t="s">
        <v>27</v>
      </c>
      <c r="O893" s="4" t="s">
        <v>28</v>
      </c>
    </row>
    <row r="894" spans="2:15" ht="21" customHeight="1" x14ac:dyDescent="0.3">
      <c r="B894" s="11" t="s">
        <v>14</v>
      </c>
      <c r="C894" s="12">
        <v>22</v>
      </c>
      <c r="D894" s="13" t="s">
        <v>48</v>
      </c>
      <c r="E894" s="11" t="s">
        <v>34</v>
      </c>
      <c r="F894" s="11" t="s">
        <v>24</v>
      </c>
      <c r="G894" s="14">
        <v>3</v>
      </c>
      <c r="H894" s="15">
        <v>15000000</v>
      </c>
      <c r="I894" s="11">
        <v>5</v>
      </c>
      <c r="J894" s="16">
        <v>4.3981481481481484E-3</v>
      </c>
      <c r="K894" s="11" t="s">
        <v>18</v>
      </c>
      <c r="L894" s="11" t="s">
        <v>19</v>
      </c>
      <c r="M894" s="11" t="s">
        <v>52</v>
      </c>
      <c r="N894" s="11" t="s">
        <v>21</v>
      </c>
      <c r="O894" s="11" t="s">
        <v>22</v>
      </c>
    </row>
    <row r="895" spans="2:15" ht="21" customHeight="1" x14ac:dyDescent="0.3">
      <c r="B895" s="4" t="s">
        <v>14</v>
      </c>
      <c r="C895" s="5">
        <v>17</v>
      </c>
      <c r="D895" s="6" t="s">
        <v>73</v>
      </c>
      <c r="E895" s="4" t="s">
        <v>77</v>
      </c>
      <c r="F895" s="4" t="s">
        <v>49</v>
      </c>
      <c r="G895" s="7">
        <v>3</v>
      </c>
      <c r="H895" s="1">
        <v>12000000</v>
      </c>
      <c r="I895" s="4">
        <v>1</v>
      </c>
      <c r="J895" s="8">
        <v>4.3981481481481484E-3</v>
      </c>
      <c r="K895" s="4" t="s">
        <v>18</v>
      </c>
      <c r="L895" s="4" t="s">
        <v>60</v>
      </c>
      <c r="M895" s="4" t="s">
        <v>52</v>
      </c>
      <c r="N895" s="4" t="s">
        <v>21</v>
      </c>
      <c r="O895" s="4" t="s">
        <v>67</v>
      </c>
    </row>
    <row r="896" spans="2:15" ht="21" customHeight="1" x14ac:dyDescent="0.3">
      <c r="B896" s="11" t="s">
        <v>14</v>
      </c>
      <c r="C896" s="12">
        <v>17</v>
      </c>
      <c r="D896" s="13" t="s">
        <v>61</v>
      </c>
      <c r="E896" s="11" t="s">
        <v>42</v>
      </c>
      <c r="F896" s="11" t="s">
        <v>46</v>
      </c>
      <c r="G896" s="14">
        <v>4</v>
      </c>
      <c r="H896" s="15">
        <v>15000000</v>
      </c>
      <c r="I896" s="11">
        <v>2</v>
      </c>
      <c r="J896" s="16">
        <v>4.3981481481481484E-3</v>
      </c>
      <c r="K896" s="11" t="s">
        <v>18</v>
      </c>
      <c r="L896" s="11" t="s">
        <v>68</v>
      </c>
      <c r="M896" s="11" t="s">
        <v>32</v>
      </c>
      <c r="N896" s="11" t="s">
        <v>36</v>
      </c>
      <c r="O896" s="11" t="s">
        <v>69</v>
      </c>
    </row>
    <row r="897" spans="2:15" ht="21" customHeight="1" x14ac:dyDescent="0.3">
      <c r="B897" s="4" t="s">
        <v>74</v>
      </c>
      <c r="C897" s="5">
        <v>13</v>
      </c>
      <c r="D897" s="6" t="s">
        <v>29</v>
      </c>
      <c r="E897" s="4" t="s">
        <v>34</v>
      </c>
      <c r="F897" s="4" t="s">
        <v>24</v>
      </c>
      <c r="G897" s="7">
        <v>0</v>
      </c>
      <c r="H897" s="1">
        <v>0</v>
      </c>
      <c r="I897" s="4">
        <v>1</v>
      </c>
      <c r="J897" s="8">
        <v>4.3981481481481484E-3</v>
      </c>
      <c r="K897" s="4"/>
      <c r="L897" s="4"/>
      <c r="M897" s="4" t="s">
        <v>20</v>
      </c>
      <c r="N897" s="4" t="s">
        <v>39</v>
      </c>
      <c r="O897" s="4" t="s">
        <v>40</v>
      </c>
    </row>
    <row r="898" spans="2:15" ht="21" customHeight="1" x14ac:dyDescent="0.3">
      <c r="B898" s="11" t="s">
        <v>74</v>
      </c>
      <c r="C898" s="12">
        <v>5</v>
      </c>
      <c r="D898" s="13" t="s">
        <v>41</v>
      </c>
      <c r="E898" s="11" t="s">
        <v>53</v>
      </c>
      <c r="F898" s="11" t="s">
        <v>46</v>
      </c>
      <c r="G898" s="14">
        <v>0</v>
      </c>
      <c r="H898" s="15">
        <v>0</v>
      </c>
      <c r="I898" s="11">
        <v>5</v>
      </c>
      <c r="J898" s="16">
        <v>4.3981481481481484E-3</v>
      </c>
      <c r="K898" s="11"/>
      <c r="L898" s="11"/>
      <c r="M898" s="11" t="s">
        <v>44</v>
      </c>
      <c r="N898" s="11" t="s">
        <v>27</v>
      </c>
      <c r="O898" s="11" t="s">
        <v>28</v>
      </c>
    </row>
    <row r="899" spans="2:15" ht="21" customHeight="1" x14ac:dyDescent="0.3">
      <c r="B899" s="4" t="s">
        <v>74</v>
      </c>
      <c r="C899" s="5">
        <v>19</v>
      </c>
      <c r="D899" s="6" t="s">
        <v>48</v>
      </c>
      <c r="E899" s="4" t="s">
        <v>34</v>
      </c>
      <c r="F899" s="4" t="s">
        <v>17</v>
      </c>
      <c r="G899" s="7">
        <v>0</v>
      </c>
      <c r="H899" s="1">
        <v>0</v>
      </c>
      <c r="I899" s="4">
        <v>2</v>
      </c>
      <c r="J899" s="8">
        <v>4.3981481481481484E-3</v>
      </c>
      <c r="K899" s="4"/>
      <c r="L899" s="4"/>
      <c r="M899" s="4" t="s">
        <v>32</v>
      </c>
      <c r="N899" s="4" t="s">
        <v>27</v>
      </c>
      <c r="O899" s="4" t="s">
        <v>28</v>
      </c>
    </row>
    <row r="900" spans="2:15" ht="21" customHeight="1" x14ac:dyDescent="0.3">
      <c r="B900" s="11" t="s">
        <v>74</v>
      </c>
      <c r="C900" s="12">
        <v>28</v>
      </c>
      <c r="D900" s="13" t="s">
        <v>48</v>
      </c>
      <c r="E900" s="11" t="s">
        <v>34</v>
      </c>
      <c r="F900" s="11" t="s">
        <v>24</v>
      </c>
      <c r="G900" s="14">
        <v>0</v>
      </c>
      <c r="H900" s="15">
        <v>0</v>
      </c>
      <c r="I900" s="11">
        <v>4</v>
      </c>
      <c r="J900" s="16">
        <v>4.3981481481481484E-3</v>
      </c>
      <c r="K900" s="11"/>
      <c r="L900" s="11"/>
      <c r="M900" s="11" t="s">
        <v>47</v>
      </c>
      <c r="N900" s="11" t="s">
        <v>39</v>
      </c>
      <c r="O900" s="11" t="s">
        <v>40</v>
      </c>
    </row>
    <row r="901" spans="2:15" ht="21" customHeight="1" x14ac:dyDescent="0.3">
      <c r="B901" s="4" t="s">
        <v>74</v>
      </c>
      <c r="C901" s="5">
        <v>10</v>
      </c>
      <c r="D901" s="6" t="s">
        <v>73</v>
      </c>
      <c r="E901" s="4" t="s">
        <v>53</v>
      </c>
      <c r="F901" s="4" t="s">
        <v>46</v>
      </c>
      <c r="G901" s="7">
        <v>0</v>
      </c>
      <c r="H901" s="1">
        <v>0</v>
      </c>
      <c r="I901" s="4">
        <v>5</v>
      </c>
      <c r="J901" s="8">
        <v>4.3981481481481484E-3</v>
      </c>
      <c r="K901" s="4"/>
      <c r="L901" s="4"/>
      <c r="M901" s="4" t="s">
        <v>52</v>
      </c>
      <c r="N901" s="4" t="s">
        <v>21</v>
      </c>
      <c r="O901" s="4" t="s">
        <v>66</v>
      </c>
    </row>
    <row r="902" spans="2:15" ht="21" customHeight="1" x14ac:dyDescent="0.3">
      <c r="B902" s="11" t="s">
        <v>14</v>
      </c>
      <c r="C902" s="12">
        <v>1</v>
      </c>
      <c r="D902" s="13" t="s">
        <v>15</v>
      </c>
      <c r="E902" s="11" t="s">
        <v>42</v>
      </c>
      <c r="F902" s="11" t="s">
        <v>72</v>
      </c>
      <c r="G902" s="14">
        <v>2</v>
      </c>
      <c r="H902" s="15">
        <v>12000000</v>
      </c>
      <c r="I902" s="11">
        <v>1</v>
      </c>
      <c r="J902" s="16">
        <v>4.5138888888888893E-3</v>
      </c>
      <c r="K902" s="11" t="s">
        <v>18</v>
      </c>
      <c r="L902" s="11" t="s">
        <v>51</v>
      </c>
      <c r="M902" s="11" t="s">
        <v>26</v>
      </c>
      <c r="N902" s="11" t="s">
        <v>39</v>
      </c>
      <c r="O902" s="11" t="s">
        <v>40</v>
      </c>
    </row>
    <row r="903" spans="2:15" ht="21" customHeight="1" x14ac:dyDescent="0.3">
      <c r="B903" s="4" t="s">
        <v>14</v>
      </c>
      <c r="C903" s="5">
        <v>1</v>
      </c>
      <c r="D903" s="6" t="s">
        <v>15</v>
      </c>
      <c r="E903" s="4" t="s">
        <v>30</v>
      </c>
      <c r="F903" s="4" t="s">
        <v>24</v>
      </c>
      <c r="G903" s="7">
        <v>2</v>
      </c>
      <c r="H903" s="1">
        <v>12000000</v>
      </c>
      <c r="I903" s="4">
        <v>1</v>
      </c>
      <c r="J903" s="8">
        <v>4.5138888888888893E-3</v>
      </c>
      <c r="K903" s="4" t="s">
        <v>18</v>
      </c>
      <c r="L903" s="4" t="s">
        <v>43</v>
      </c>
      <c r="M903" s="4" t="s">
        <v>52</v>
      </c>
      <c r="N903" s="4" t="s">
        <v>27</v>
      </c>
      <c r="O903" s="4" t="s">
        <v>28</v>
      </c>
    </row>
    <row r="904" spans="2:15" ht="21" customHeight="1" x14ac:dyDescent="0.3">
      <c r="B904" s="11" t="s">
        <v>14</v>
      </c>
      <c r="C904" s="12">
        <v>1</v>
      </c>
      <c r="D904" s="13" t="s">
        <v>15</v>
      </c>
      <c r="E904" s="11" t="s">
        <v>34</v>
      </c>
      <c r="F904" s="11" t="s">
        <v>46</v>
      </c>
      <c r="G904" s="14">
        <v>5</v>
      </c>
      <c r="H904" s="15">
        <v>25000000</v>
      </c>
      <c r="I904" s="11">
        <v>2</v>
      </c>
      <c r="J904" s="16">
        <v>4.5138888888888893E-3</v>
      </c>
      <c r="K904" s="11" t="s">
        <v>18</v>
      </c>
      <c r="L904" s="11" t="s">
        <v>51</v>
      </c>
      <c r="M904" s="11" t="s">
        <v>52</v>
      </c>
      <c r="N904" s="11" t="s">
        <v>21</v>
      </c>
      <c r="O904" s="11" t="s">
        <v>57</v>
      </c>
    </row>
    <row r="905" spans="2:15" ht="21" customHeight="1" x14ac:dyDescent="0.3">
      <c r="B905" s="4" t="s">
        <v>14</v>
      </c>
      <c r="C905" s="5">
        <v>12</v>
      </c>
      <c r="D905" s="6" t="s">
        <v>64</v>
      </c>
      <c r="E905" s="4" t="s">
        <v>77</v>
      </c>
      <c r="F905" s="4" t="s">
        <v>46</v>
      </c>
      <c r="G905" s="7">
        <v>4</v>
      </c>
      <c r="H905" s="1">
        <v>11000000</v>
      </c>
      <c r="I905" s="4">
        <v>1</v>
      </c>
      <c r="J905" s="8">
        <v>4.5138888888888893E-3</v>
      </c>
      <c r="K905" s="4" t="s">
        <v>65</v>
      </c>
      <c r="L905" s="4" t="s">
        <v>25</v>
      </c>
      <c r="M905" s="4" t="s">
        <v>32</v>
      </c>
      <c r="N905" s="4" t="s">
        <v>27</v>
      </c>
      <c r="O905" s="4" t="s">
        <v>28</v>
      </c>
    </row>
    <row r="906" spans="2:15" ht="21" customHeight="1" x14ac:dyDescent="0.3">
      <c r="B906" s="11" t="s">
        <v>14</v>
      </c>
      <c r="C906" s="12">
        <v>27</v>
      </c>
      <c r="D906" s="13" t="s">
        <v>23</v>
      </c>
      <c r="E906" s="11" t="s">
        <v>42</v>
      </c>
      <c r="F906" s="11" t="s">
        <v>24</v>
      </c>
      <c r="G906" s="14">
        <v>3</v>
      </c>
      <c r="H906" s="15">
        <v>15000000</v>
      </c>
      <c r="I906" s="11">
        <v>4</v>
      </c>
      <c r="J906" s="16">
        <v>4.5138888888888893E-3</v>
      </c>
      <c r="K906" s="11" t="s">
        <v>18</v>
      </c>
      <c r="L906" s="11" t="s">
        <v>43</v>
      </c>
      <c r="M906" s="11" t="s">
        <v>47</v>
      </c>
      <c r="N906" s="11" t="s">
        <v>21</v>
      </c>
      <c r="O906" s="11" t="s">
        <v>67</v>
      </c>
    </row>
    <row r="907" spans="2:15" ht="21" customHeight="1" x14ac:dyDescent="0.3">
      <c r="B907" s="4" t="s">
        <v>14</v>
      </c>
      <c r="C907" s="5">
        <v>16</v>
      </c>
      <c r="D907" s="6" t="s">
        <v>23</v>
      </c>
      <c r="E907" s="4" t="s">
        <v>77</v>
      </c>
      <c r="F907" s="4" t="s">
        <v>24</v>
      </c>
      <c r="G907" s="7">
        <v>5</v>
      </c>
      <c r="H907" s="1">
        <v>20000000</v>
      </c>
      <c r="I907" s="4">
        <v>3</v>
      </c>
      <c r="J907" s="8">
        <v>4.5138888888888893E-3</v>
      </c>
      <c r="K907" s="4" t="s">
        <v>18</v>
      </c>
      <c r="L907" s="4" t="s">
        <v>54</v>
      </c>
      <c r="M907" s="4" t="s">
        <v>55</v>
      </c>
      <c r="N907" s="4" t="s">
        <v>21</v>
      </c>
      <c r="O907" s="4" t="s">
        <v>45</v>
      </c>
    </row>
    <row r="908" spans="2:15" ht="21" customHeight="1" x14ac:dyDescent="0.3">
      <c r="B908" s="11" t="s">
        <v>14</v>
      </c>
      <c r="C908" s="12">
        <v>24</v>
      </c>
      <c r="D908" s="13" t="s">
        <v>29</v>
      </c>
      <c r="E908" s="11" t="s">
        <v>16</v>
      </c>
      <c r="F908" s="11" t="s">
        <v>17</v>
      </c>
      <c r="G908" s="14">
        <v>3</v>
      </c>
      <c r="H908" s="15">
        <v>15000000</v>
      </c>
      <c r="I908" s="11">
        <v>5</v>
      </c>
      <c r="J908" s="16">
        <v>4.5138888888888893E-3</v>
      </c>
      <c r="K908" s="11" t="s">
        <v>18</v>
      </c>
      <c r="L908" s="11" t="s">
        <v>19</v>
      </c>
      <c r="M908" s="11" t="s">
        <v>32</v>
      </c>
      <c r="N908" s="11" t="s">
        <v>27</v>
      </c>
      <c r="O908" s="11" t="s">
        <v>56</v>
      </c>
    </row>
    <row r="909" spans="2:15" ht="21" customHeight="1" x14ac:dyDescent="0.3">
      <c r="B909" s="4" t="s">
        <v>14</v>
      </c>
      <c r="C909" s="5">
        <v>30</v>
      </c>
      <c r="D909" s="6" t="s">
        <v>29</v>
      </c>
      <c r="E909" s="4" t="s">
        <v>53</v>
      </c>
      <c r="F909" s="4" t="s">
        <v>46</v>
      </c>
      <c r="G909" s="7">
        <v>2</v>
      </c>
      <c r="H909" s="1">
        <v>12000000</v>
      </c>
      <c r="I909" s="4">
        <v>4</v>
      </c>
      <c r="J909" s="8">
        <v>4.5138888888888893E-3</v>
      </c>
      <c r="K909" s="4" t="s">
        <v>18</v>
      </c>
      <c r="L909" s="4" t="s">
        <v>31</v>
      </c>
      <c r="M909" s="4" t="s">
        <v>32</v>
      </c>
      <c r="N909" s="4" t="s">
        <v>21</v>
      </c>
      <c r="O909" s="4" t="s">
        <v>45</v>
      </c>
    </row>
    <row r="910" spans="2:15" ht="21" customHeight="1" x14ac:dyDescent="0.3">
      <c r="B910" s="11" t="s">
        <v>14</v>
      </c>
      <c r="C910" s="12">
        <v>11</v>
      </c>
      <c r="D910" s="13" t="s">
        <v>29</v>
      </c>
      <c r="E910" s="11" t="s">
        <v>16</v>
      </c>
      <c r="F910" s="11" t="s">
        <v>24</v>
      </c>
      <c r="G910" s="14">
        <v>5</v>
      </c>
      <c r="H910" s="15">
        <v>21000000</v>
      </c>
      <c r="I910" s="11">
        <v>1</v>
      </c>
      <c r="J910" s="16">
        <v>4.5138888888888893E-3</v>
      </c>
      <c r="K910" s="11" t="s">
        <v>18</v>
      </c>
      <c r="L910" s="11" t="s">
        <v>31</v>
      </c>
      <c r="M910" s="11" t="s">
        <v>55</v>
      </c>
      <c r="N910" s="11" t="s">
        <v>36</v>
      </c>
      <c r="O910" s="11" t="s">
        <v>69</v>
      </c>
    </row>
    <row r="911" spans="2:15" ht="21" customHeight="1" x14ac:dyDescent="0.3">
      <c r="B911" s="4" t="s">
        <v>14</v>
      </c>
      <c r="C911" s="5">
        <v>8</v>
      </c>
      <c r="D911" s="6" t="s">
        <v>41</v>
      </c>
      <c r="E911" s="4" t="s">
        <v>30</v>
      </c>
      <c r="F911" s="4" t="s">
        <v>24</v>
      </c>
      <c r="G911" s="7">
        <v>1</v>
      </c>
      <c r="H911" s="1">
        <v>19000000</v>
      </c>
      <c r="I911" s="4">
        <v>3</v>
      </c>
      <c r="J911" s="8">
        <v>4.5138888888888893E-3</v>
      </c>
      <c r="K911" s="4" t="s">
        <v>50</v>
      </c>
      <c r="L911" s="4" t="s">
        <v>31</v>
      </c>
      <c r="M911" s="4" t="s">
        <v>35</v>
      </c>
      <c r="N911" s="4" t="s">
        <v>27</v>
      </c>
      <c r="O911" s="4" t="s">
        <v>33</v>
      </c>
    </row>
    <row r="912" spans="2:15" ht="21" customHeight="1" x14ac:dyDescent="0.3">
      <c r="B912" s="11" t="s">
        <v>14</v>
      </c>
      <c r="C912" s="12">
        <v>26</v>
      </c>
      <c r="D912" s="13" t="s">
        <v>41</v>
      </c>
      <c r="E912" s="11" t="s">
        <v>16</v>
      </c>
      <c r="F912" s="11" t="s">
        <v>17</v>
      </c>
      <c r="G912" s="14">
        <v>2</v>
      </c>
      <c r="H912" s="15">
        <v>38000000</v>
      </c>
      <c r="I912" s="11">
        <v>4</v>
      </c>
      <c r="J912" s="16">
        <v>4.5138888888888893E-3</v>
      </c>
      <c r="K912" s="11" t="s">
        <v>50</v>
      </c>
      <c r="L912" s="11" t="s">
        <v>19</v>
      </c>
      <c r="M912" s="11" t="s">
        <v>35</v>
      </c>
      <c r="N912" s="11" t="s">
        <v>39</v>
      </c>
      <c r="O912" s="11" t="s">
        <v>71</v>
      </c>
    </row>
    <row r="913" spans="2:15" ht="21" customHeight="1" x14ac:dyDescent="0.3">
      <c r="B913" s="4" t="s">
        <v>14</v>
      </c>
      <c r="C913" s="5">
        <v>10</v>
      </c>
      <c r="D913" s="6" t="s">
        <v>41</v>
      </c>
      <c r="E913" s="4" t="s">
        <v>16</v>
      </c>
      <c r="F913" s="4" t="s">
        <v>24</v>
      </c>
      <c r="G913" s="7">
        <v>4</v>
      </c>
      <c r="H913" s="1">
        <v>11000000</v>
      </c>
      <c r="I913" s="4">
        <v>5</v>
      </c>
      <c r="J913" s="8">
        <v>4.5138888888888893E-3</v>
      </c>
      <c r="K913" s="4" t="s">
        <v>65</v>
      </c>
      <c r="L913" s="4" t="s">
        <v>38</v>
      </c>
      <c r="M913" s="4" t="s">
        <v>47</v>
      </c>
      <c r="N913" s="4" t="s">
        <v>39</v>
      </c>
      <c r="O913" s="4" t="s">
        <v>40</v>
      </c>
    </row>
    <row r="914" spans="2:15" ht="21" customHeight="1" x14ac:dyDescent="0.3">
      <c r="B914" s="11" t="s">
        <v>14</v>
      </c>
      <c r="C914" s="12">
        <v>31</v>
      </c>
      <c r="D914" s="13" t="s">
        <v>41</v>
      </c>
      <c r="E914" s="11" t="s">
        <v>42</v>
      </c>
      <c r="F914" s="11" t="s">
        <v>46</v>
      </c>
      <c r="G914" s="14">
        <v>5</v>
      </c>
      <c r="H914" s="15">
        <v>21000000</v>
      </c>
      <c r="I914" s="11">
        <v>5</v>
      </c>
      <c r="J914" s="16">
        <v>4.5138888888888893E-3</v>
      </c>
      <c r="K914" s="11" t="s">
        <v>18</v>
      </c>
      <c r="L914" s="11" t="s">
        <v>43</v>
      </c>
      <c r="M914" s="11" t="s">
        <v>20</v>
      </c>
      <c r="N914" s="11" t="s">
        <v>27</v>
      </c>
      <c r="O914" s="11" t="s">
        <v>28</v>
      </c>
    </row>
    <row r="915" spans="2:15" ht="21" customHeight="1" x14ac:dyDescent="0.3">
      <c r="B915" s="4" t="s">
        <v>14</v>
      </c>
      <c r="C915" s="5">
        <v>11</v>
      </c>
      <c r="D915" s="6" t="s">
        <v>41</v>
      </c>
      <c r="E915" s="4" t="s">
        <v>34</v>
      </c>
      <c r="F915" s="4" t="s">
        <v>17</v>
      </c>
      <c r="G915" s="7">
        <v>5</v>
      </c>
      <c r="H915" s="1">
        <v>25000000</v>
      </c>
      <c r="I915" s="4">
        <v>2</v>
      </c>
      <c r="J915" s="8">
        <v>4.5138888888888893E-3</v>
      </c>
      <c r="K915" s="4" t="s">
        <v>18</v>
      </c>
      <c r="L915" s="4" t="s">
        <v>43</v>
      </c>
      <c r="M915" s="4" t="s">
        <v>35</v>
      </c>
      <c r="N915" s="4" t="s">
        <v>21</v>
      </c>
      <c r="O915" s="4" t="s">
        <v>57</v>
      </c>
    </row>
    <row r="916" spans="2:15" ht="21" customHeight="1" x14ac:dyDescent="0.3">
      <c r="B916" s="11" t="s">
        <v>14</v>
      </c>
      <c r="C916" s="12">
        <v>5</v>
      </c>
      <c r="D916" s="13" t="s">
        <v>41</v>
      </c>
      <c r="E916" s="11" t="s">
        <v>30</v>
      </c>
      <c r="F916" s="11" t="s">
        <v>24</v>
      </c>
      <c r="G916" s="14">
        <v>4</v>
      </c>
      <c r="H916" s="15">
        <v>20000000</v>
      </c>
      <c r="I916" s="11">
        <v>4</v>
      </c>
      <c r="J916" s="16">
        <v>4.5138888888888893E-3</v>
      </c>
      <c r="K916" s="11" t="s">
        <v>18</v>
      </c>
      <c r="L916" s="11" t="s">
        <v>68</v>
      </c>
      <c r="M916" s="11" t="s">
        <v>20</v>
      </c>
      <c r="N916" s="11" t="s">
        <v>21</v>
      </c>
      <c r="O916" s="11" t="s">
        <v>67</v>
      </c>
    </row>
    <row r="917" spans="2:15" ht="21" customHeight="1" x14ac:dyDescent="0.3">
      <c r="B917" s="4" t="s">
        <v>14</v>
      </c>
      <c r="C917" s="5">
        <v>28</v>
      </c>
      <c r="D917" s="6" t="s">
        <v>41</v>
      </c>
      <c r="E917" s="4" t="s">
        <v>53</v>
      </c>
      <c r="F917" s="4" t="s">
        <v>17</v>
      </c>
      <c r="G917" s="7">
        <v>1</v>
      </c>
      <c r="H917" s="1">
        <v>7000000</v>
      </c>
      <c r="I917" s="4">
        <v>5</v>
      </c>
      <c r="J917" s="8">
        <v>4.5138888888888893E-3</v>
      </c>
      <c r="K917" s="4" t="s">
        <v>18</v>
      </c>
      <c r="L917" s="4" t="s">
        <v>19</v>
      </c>
      <c r="M917" s="4" t="s">
        <v>47</v>
      </c>
      <c r="N917" s="4" t="s">
        <v>36</v>
      </c>
      <c r="O917" s="4" t="s">
        <v>58</v>
      </c>
    </row>
    <row r="918" spans="2:15" ht="21" customHeight="1" x14ac:dyDescent="0.3">
      <c r="B918" s="11" t="s">
        <v>14</v>
      </c>
      <c r="C918" s="12">
        <v>4</v>
      </c>
      <c r="D918" s="13" t="s">
        <v>48</v>
      </c>
      <c r="E918" s="11" t="s">
        <v>30</v>
      </c>
      <c r="F918" s="11" t="s">
        <v>24</v>
      </c>
      <c r="G918" s="14">
        <v>2</v>
      </c>
      <c r="H918" s="15">
        <v>38000000</v>
      </c>
      <c r="I918" s="11">
        <v>4</v>
      </c>
      <c r="J918" s="16">
        <v>4.5138888888888893E-3</v>
      </c>
      <c r="K918" s="11" t="s">
        <v>50</v>
      </c>
      <c r="L918" s="11" t="s">
        <v>68</v>
      </c>
      <c r="M918" s="11" t="s">
        <v>20</v>
      </c>
      <c r="N918" s="11" t="s">
        <v>27</v>
      </c>
      <c r="O918" s="11" t="s">
        <v>33</v>
      </c>
    </row>
    <row r="919" spans="2:15" ht="21" customHeight="1" x14ac:dyDescent="0.3">
      <c r="B919" s="4" t="s">
        <v>14</v>
      </c>
      <c r="C919" s="5">
        <v>15</v>
      </c>
      <c r="D919" s="6" t="s">
        <v>48</v>
      </c>
      <c r="E919" s="4" t="s">
        <v>30</v>
      </c>
      <c r="F919" s="4" t="s">
        <v>49</v>
      </c>
      <c r="G919" s="7">
        <v>1</v>
      </c>
      <c r="H919" s="1">
        <v>19000000</v>
      </c>
      <c r="I919" s="4">
        <v>7</v>
      </c>
      <c r="J919" s="8">
        <v>4.5138888888888893E-3</v>
      </c>
      <c r="K919" s="4" t="s">
        <v>50</v>
      </c>
      <c r="L919" s="4" t="s">
        <v>51</v>
      </c>
      <c r="M919" s="4" t="s">
        <v>55</v>
      </c>
      <c r="N919" s="4" t="s">
        <v>36</v>
      </c>
      <c r="O919" s="4" t="s">
        <v>58</v>
      </c>
    </row>
    <row r="920" spans="2:15" ht="21" customHeight="1" x14ac:dyDescent="0.3">
      <c r="B920" s="11" t="s">
        <v>14</v>
      </c>
      <c r="C920" s="12">
        <v>22</v>
      </c>
      <c r="D920" s="13" t="s">
        <v>48</v>
      </c>
      <c r="E920" s="11" t="s">
        <v>53</v>
      </c>
      <c r="F920" s="11" t="s">
        <v>46</v>
      </c>
      <c r="G920" s="14">
        <v>4</v>
      </c>
      <c r="H920" s="15">
        <v>20000000</v>
      </c>
      <c r="I920" s="11">
        <v>3</v>
      </c>
      <c r="J920" s="16">
        <v>4.5138888888888893E-3</v>
      </c>
      <c r="K920" s="11" t="s">
        <v>65</v>
      </c>
      <c r="L920" s="11" t="s">
        <v>60</v>
      </c>
      <c r="M920" s="11" t="s">
        <v>52</v>
      </c>
      <c r="N920" s="11" t="s">
        <v>27</v>
      </c>
      <c r="O920" s="11" t="s">
        <v>56</v>
      </c>
    </row>
    <row r="921" spans="2:15" ht="21" customHeight="1" x14ac:dyDescent="0.3">
      <c r="B921" s="4" t="s">
        <v>14</v>
      </c>
      <c r="C921" s="5">
        <v>3</v>
      </c>
      <c r="D921" s="6" t="s">
        <v>48</v>
      </c>
      <c r="E921" s="4" t="s">
        <v>30</v>
      </c>
      <c r="F921" s="4" t="s">
        <v>46</v>
      </c>
      <c r="G921" s="7">
        <v>2</v>
      </c>
      <c r="H921" s="1">
        <v>12000000</v>
      </c>
      <c r="I921" s="4">
        <v>2</v>
      </c>
      <c r="J921" s="8">
        <v>4.5138888888888893E-3</v>
      </c>
      <c r="K921" s="4" t="s">
        <v>18</v>
      </c>
      <c r="L921" s="4" t="s">
        <v>19</v>
      </c>
      <c r="M921" s="4" t="s">
        <v>26</v>
      </c>
      <c r="N921" s="4" t="s">
        <v>21</v>
      </c>
      <c r="O921" s="4" t="s">
        <v>67</v>
      </c>
    </row>
    <row r="922" spans="2:15" ht="21" customHeight="1" x14ac:dyDescent="0.3">
      <c r="B922" s="11" t="s">
        <v>14</v>
      </c>
      <c r="C922" s="12">
        <v>15</v>
      </c>
      <c r="D922" s="13" t="s">
        <v>48</v>
      </c>
      <c r="E922" s="11" t="s">
        <v>16</v>
      </c>
      <c r="F922" s="11" t="s">
        <v>24</v>
      </c>
      <c r="G922" s="14">
        <v>2</v>
      </c>
      <c r="H922" s="15">
        <v>12000000</v>
      </c>
      <c r="I922" s="11">
        <v>3</v>
      </c>
      <c r="J922" s="16">
        <v>4.5138888888888893E-3</v>
      </c>
      <c r="K922" s="11" t="s">
        <v>18</v>
      </c>
      <c r="L922" s="11" t="s">
        <v>38</v>
      </c>
      <c r="M922" s="11" t="s">
        <v>32</v>
      </c>
      <c r="N922" s="11" t="s">
        <v>21</v>
      </c>
      <c r="O922" s="11" t="s">
        <v>57</v>
      </c>
    </row>
    <row r="923" spans="2:15" ht="21" customHeight="1" x14ac:dyDescent="0.3">
      <c r="B923" s="4" t="s">
        <v>14</v>
      </c>
      <c r="C923" s="5">
        <v>3</v>
      </c>
      <c r="D923" s="6" t="s">
        <v>48</v>
      </c>
      <c r="E923" s="4" t="s">
        <v>16</v>
      </c>
      <c r="F923" s="4" t="s">
        <v>17</v>
      </c>
      <c r="G923" s="7">
        <v>2</v>
      </c>
      <c r="H923" s="1">
        <v>12000000</v>
      </c>
      <c r="I923" s="4">
        <v>3</v>
      </c>
      <c r="J923" s="8">
        <v>4.5138888888888893E-3</v>
      </c>
      <c r="K923" s="4" t="s">
        <v>18</v>
      </c>
      <c r="L923" s="4" t="s">
        <v>31</v>
      </c>
      <c r="M923" s="4" t="s">
        <v>35</v>
      </c>
      <c r="N923" s="4" t="s">
        <v>27</v>
      </c>
      <c r="O923" s="4" t="s">
        <v>33</v>
      </c>
    </row>
    <row r="924" spans="2:15" ht="21" customHeight="1" x14ac:dyDescent="0.3">
      <c r="B924" s="11" t="s">
        <v>14</v>
      </c>
      <c r="C924" s="12">
        <v>11</v>
      </c>
      <c r="D924" s="13" t="s">
        <v>48</v>
      </c>
      <c r="E924" s="11" t="s">
        <v>53</v>
      </c>
      <c r="F924" s="11" t="s">
        <v>49</v>
      </c>
      <c r="G924" s="14">
        <v>3</v>
      </c>
      <c r="H924" s="15">
        <v>15000000</v>
      </c>
      <c r="I924" s="11">
        <v>3</v>
      </c>
      <c r="J924" s="16">
        <v>4.5138888888888893E-3</v>
      </c>
      <c r="K924" s="11" t="s">
        <v>18</v>
      </c>
      <c r="L924" s="11" t="s">
        <v>68</v>
      </c>
      <c r="M924" s="11" t="s">
        <v>35</v>
      </c>
      <c r="N924" s="11" t="s">
        <v>36</v>
      </c>
      <c r="O924" s="11" t="s">
        <v>58</v>
      </c>
    </row>
    <row r="925" spans="2:15" ht="21" customHeight="1" x14ac:dyDescent="0.3">
      <c r="B925" s="4" t="s">
        <v>14</v>
      </c>
      <c r="C925" s="5">
        <v>22</v>
      </c>
      <c r="D925" s="6" t="s">
        <v>48</v>
      </c>
      <c r="E925" s="4" t="s">
        <v>77</v>
      </c>
      <c r="F925" s="4" t="s">
        <v>46</v>
      </c>
      <c r="G925" s="7">
        <v>3</v>
      </c>
      <c r="H925" s="1">
        <v>15000000</v>
      </c>
      <c r="I925" s="4">
        <v>4</v>
      </c>
      <c r="J925" s="8">
        <v>4.5138888888888893E-3</v>
      </c>
      <c r="K925" s="4" t="s">
        <v>18</v>
      </c>
      <c r="L925" s="4" t="s">
        <v>19</v>
      </c>
      <c r="M925" s="4" t="s">
        <v>35</v>
      </c>
      <c r="N925" s="4" t="s">
        <v>21</v>
      </c>
      <c r="O925" s="4" t="s">
        <v>66</v>
      </c>
    </row>
    <row r="926" spans="2:15" ht="21" customHeight="1" x14ac:dyDescent="0.3">
      <c r="B926" s="11" t="s">
        <v>14</v>
      </c>
      <c r="C926" s="12">
        <v>20</v>
      </c>
      <c r="D926" s="13" t="s">
        <v>48</v>
      </c>
      <c r="E926" s="11" t="s">
        <v>16</v>
      </c>
      <c r="F926" s="11" t="s">
        <v>46</v>
      </c>
      <c r="G926" s="14">
        <v>3</v>
      </c>
      <c r="H926" s="15">
        <v>15000000</v>
      </c>
      <c r="I926" s="11">
        <v>6</v>
      </c>
      <c r="J926" s="16">
        <v>4.5138888888888893E-3</v>
      </c>
      <c r="K926" s="11" t="s">
        <v>18</v>
      </c>
      <c r="L926" s="11" t="s">
        <v>38</v>
      </c>
      <c r="M926" s="11" t="s">
        <v>20</v>
      </c>
      <c r="N926" s="11" t="s">
        <v>39</v>
      </c>
      <c r="O926" s="11" t="s">
        <v>71</v>
      </c>
    </row>
    <row r="927" spans="2:15" ht="21" customHeight="1" x14ac:dyDescent="0.3">
      <c r="B927" s="4" t="s">
        <v>14</v>
      </c>
      <c r="C927" s="5">
        <v>30</v>
      </c>
      <c r="D927" s="6" t="s">
        <v>48</v>
      </c>
      <c r="E927" s="4" t="s">
        <v>77</v>
      </c>
      <c r="F927" s="4" t="s">
        <v>46</v>
      </c>
      <c r="G927" s="7">
        <v>1</v>
      </c>
      <c r="H927" s="1">
        <v>7000000</v>
      </c>
      <c r="I927" s="4">
        <v>3</v>
      </c>
      <c r="J927" s="8">
        <v>4.5138888888888893E-3</v>
      </c>
      <c r="K927" s="4" t="s">
        <v>18</v>
      </c>
      <c r="L927" s="4" t="s">
        <v>19</v>
      </c>
      <c r="M927" s="4" t="s">
        <v>52</v>
      </c>
      <c r="N927" s="4" t="s">
        <v>27</v>
      </c>
      <c r="O927" s="4" t="s">
        <v>33</v>
      </c>
    </row>
    <row r="928" spans="2:15" ht="21" customHeight="1" x14ac:dyDescent="0.3">
      <c r="B928" s="11" t="s">
        <v>14</v>
      </c>
      <c r="C928" s="12">
        <v>2</v>
      </c>
      <c r="D928" s="13" t="s">
        <v>73</v>
      </c>
      <c r="E928" s="11" t="s">
        <v>30</v>
      </c>
      <c r="F928" s="11" t="s">
        <v>46</v>
      </c>
      <c r="G928" s="14">
        <v>3</v>
      </c>
      <c r="H928" s="15">
        <v>12000000</v>
      </c>
      <c r="I928" s="11">
        <v>3</v>
      </c>
      <c r="J928" s="16">
        <v>4.5138888888888893E-3</v>
      </c>
      <c r="K928" s="11" t="s">
        <v>18</v>
      </c>
      <c r="L928" s="11" t="s">
        <v>43</v>
      </c>
      <c r="M928" s="11" t="s">
        <v>32</v>
      </c>
      <c r="N928" s="11" t="s">
        <v>27</v>
      </c>
      <c r="O928" s="11" t="s">
        <v>33</v>
      </c>
    </row>
    <row r="929" spans="2:15" ht="21" customHeight="1" x14ac:dyDescent="0.3">
      <c r="B929" s="4" t="s">
        <v>14</v>
      </c>
      <c r="C929" s="5">
        <v>17</v>
      </c>
      <c r="D929" s="6" t="s">
        <v>73</v>
      </c>
      <c r="E929" s="4" t="s">
        <v>16</v>
      </c>
      <c r="F929" s="4" t="s">
        <v>46</v>
      </c>
      <c r="G929" s="7">
        <v>3</v>
      </c>
      <c r="H929" s="1">
        <v>11000000</v>
      </c>
      <c r="I929" s="4">
        <v>4</v>
      </c>
      <c r="J929" s="8">
        <v>4.5138888888888893E-3</v>
      </c>
      <c r="K929" s="4" t="s">
        <v>18</v>
      </c>
      <c r="L929" s="4" t="s">
        <v>51</v>
      </c>
      <c r="M929" s="4" t="s">
        <v>47</v>
      </c>
      <c r="N929" s="4" t="s">
        <v>21</v>
      </c>
      <c r="O929" s="4" t="s">
        <v>45</v>
      </c>
    </row>
    <row r="930" spans="2:15" ht="21" customHeight="1" x14ac:dyDescent="0.3">
      <c r="B930" s="11" t="s">
        <v>14</v>
      </c>
      <c r="C930" s="12">
        <v>24</v>
      </c>
      <c r="D930" s="13" t="s">
        <v>73</v>
      </c>
      <c r="E930" s="11" t="s">
        <v>34</v>
      </c>
      <c r="F930" s="11" t="s">
        <v>17</v>
      </c>
      <c r="G930" s="14">
        <v>5</v>
      </c>
      <c r="H930" s="15">
        <v>25000000</v>
      </c>
      <c r="I930" s="11">
        <v>6</v>
      </c>
      <c r="J930" s="16">
        <v>4.5138888888888893E-3</v>
      </c>
      <c r="K930" s="11" t="s">
        <v>18</v>
      </c>
      <c r="L930" s="11" t="s">
        <v>38</v>
      </c>
      <c r="M930" s="11" t="s">
        <v>55</v>
      </c>
      <c r="N930" s="11" t="s">
        <v>21</v>
      </c>
      <c r="O930" s="11" t="s">
        <v>66</v>
      </c>
    </row>
    <row r="931" spans="2:15" ht="21" customHeight="1" x14ac:dyDescent="0.3">
      <c r="B931" s="4" t="s">
        <v>14</v>
      </c>
      <c r="C931" s="5">
        <v>28</v>
      </c>
      <c r="D931" s="6" t="s">
        <v>73</v>
      </c>
      <c r="E931" s="4" t="s">
        <v>77</v>
      </c>
      <c r="F931" s="4" t="s">
        <v>46</v>
      </c>
      <c r="G931" s="7">
        <v>4</v>
      </c>
      <c r="H931" s="1">
        <v>20000000</v>
      </c>
      <c r="I931" s="4">
        <v>2</v>
      </c>
      <c r="J931" s="8">
        <v>4.5138888888888893E-3</v>
      </c>
      <c r="K931" s="4" t="s">
        <v>18</v>
      </c>
      <c r="L931" s="4" t="s">
        <v>43</v>
      </c>
      <c r="M931" s="4" t="s">
        <v>55</v>
      </c>
      <c r="N931" s="4" t="s">
        <v>27</v>
      </c>
      <c r="O931" s="4" t="s">
        <v>33</v>
      </c>
    </row>
    <row r="932" spans="2:15" ht="21" customHeight="1" x14ac:dyDescent="0.3">
      <c r="B932" s="11" t="s">
        <v>14</v>
      </c>
      <c r="C932" s="12">
        <v>1</v>
      </c>
      <c r="D932" s="13" t="s">
        <v>15</v>
      </c>
      <c r="E932" s="11" t="s">
        <v>42</v>
      </c>
      <c r="F932" s="11" t="s">
        <v>72</v>
      </c>
      <c r="G932" s="14">
        <v>2</v>
      </c>
      <c r="H932" s="15">
        <v>12000000</v>
      </c>
      <c r="I932" s="11">
        <v>1</v>
      </c>
      <c r="J932" s="16">
        <v>4.5138888888888893E-3</v>
      </c>
      <c r="K932" s="11" t="s">
        <v>18</v>
      </c>
      <c r="L932" s="11" t="s">
        <v>51</v>
      </c>
      <c r="M932" s="11" t="s">
        <v>26</v>
      </c>
      <c r="N932" s="11" t="s">
        <v>39</v>
      </c>
      <c r="O932" s="11" t="s">
        <v>40</v>
      </c>
    </row>
    <row r="933" spans="2:15" ht="21" customHeight="1" x14ac:dyDescent="0.3">
      <c r="B933" s="4" t="s">
        <v>14</v>
      </c>
      <c r="C933" s="5">
        <v>1</v>
      </c>
      <c r="D933" s="6" t="s">
        <v>15</v>
      </c>
      <c r="E933" s="4" t="s">
        <v>30</v>
      </c>
      <c r="F933" s="4" t="s">
        <v>24</v>
      </c>
      <c r="G933" s="7">
        <v>2</v>
      </c>
      <c r="H933" s="1">
        <v>12000000</v>
      </c>
      <c r="I933" s="4">
        <v>1</v>
      </c>
      <c r="J933" s="8">
        <v>4.5138888888888893E-3</v>
      </c>
      <c r="K933" s="4" t="s">
        <v>18</v>
      </c>
      <c r="L933" s="4" t="s">
        <v>43</v>
      </c>
      <c r="M933" s="4" t="s">
        <v>52</v>
      </c>
      <c r="N933" s="4" t="s">
        <v>27</v>
      </c>
      <c r="O933" s="4" t="s">
        <v>28</v>
      </c>
    </row>
    <row r="934" spans="2:15" ht="21" customHeight="1" x14ac:dyDescent="0.3">
      <c r="B934" s="11" t="s">
        <v>14</v>
      </c>
      <c r="C934" s="12">
        <v>1</v>
      </c>
      <c r="D934" s="13" t="s">
        <v>15</v>
      </c>
      <c r="E934" s="11" t="s">
        <v>34</v>
      </c>
      <c r="F934" s="11" t="s">
        <v>46</v>
      </c>
      <c r="G934" s="14">
        <v>5</v>
      </c>
      <c r="H934" s="15">
        <v>25000000</v>
      </c>
      <c r="I934" s="11">
        <v>2</v>
      </c>
      <c r="J934" s="16">
        <v>4.5138888888888893E-3</v>
      </c>
      <c r="K934" s="11" t="s">
        <v>18</v>
      </c>
      <c r="L934" s="11" t="s">
        <v>51</v>
      </c>
      <c r="M934" s="11" t="s">
        <v>52</v>
      </c>
      <c r="N934" s="11" t="s">
        <v>21</v>
      </c>
      <c r="O934" s="11" t="s">
        <v>57</v>
      </c>
    </row>
    <row r="935" spans="2:15" ht="21" customHeight="1" x14ac:dyDescent="0.3">
      <c r="B935" s="4" t="s">
        <v>14</v>
      </c>
      <c r="C935" s="5">
        <v>12</v>
      </c>
      <c r="D935" s="6" t="s">
        <v>64</v>
      </c>
      <c r="E935" s="4" t="s">
        <v>77</v>
      </c>
      <c r="F935" s="4" t="s">
        <v>46</v>
      </c>
      <c r="G935" s="7">
        <v>4</v>
      </c>
      <c r="H935" s="1">
        <v>11000000</v>
      </c>
      <c r="I935" s="4">
        <v>1</v>
      </c>
      <c r="J935" s="8">
        <v>4.5138888888888893E-3</v>
      </c>
      <c r="K935" s="4" t="s">
        <v>65</v>
      </c>
      <c r="L935" s="4" t="s">
        <v>25</v>
      </c>
      <c r="M935" s="4" t="s">
        <v>32</v>
      </c>
      <c r="N935" s="4" t="s">
        <v>27</v>
      </c>
      <c r="O935" s="4" t="s">
        <v>28</v>
      </c>
    </row>
    <row r="936" spans="2:15" ht="21" customHeight="1" x14ac:dyDescent="0.3">
      <c r="B936" s="11" t="s">
        <v>74</v>
      </c>
      <c r="C936" s="12">
        <v>19</v>
      </c>
      <c r="D936" s="13" t="s">
        <v>62</v>
      </c>
      <c r="E936" s="11" t="s">
        <v>16</v>
      </c>
      <c r="F936" s="11" t="s">
        <v>24</v>
      </c>
      <c r="G936" s="14">
        <v>0</v>
      </c>
      <c r="H936" s="15">
        <v>0</v>
      </c>
      <c r="I936" s="11">
        <v>3</v>
      </c>
      <c r="J936" s="16">
        <v>4.5138888888888893E-3</v>
      </c>
      <c r="K936" s="11"/>
      <c r="L936" s="11"/>
      <c r="M936" s="11" t="s">
        <v>26</v>
      </c>
      <c r="N936" s="11" t="s">
        <v>39</v>
      </c>
      <c r="O936" s="11" t="s">
        <v>40</v>
      </c>
    </row>
    <row r="937" spans="2:15" ht="21" customHeight="1" x14ac:dyDescent="0.3">
      <c r="B937" s="4" t="s">
        <v>74</v>
      </c>
      <c r="C937" s="5">
        <v>3</v>
      </c>
      <c r="D937" s="6" t="s">
        <v>76</v>
      </c>
      <c r="E937" s="4" t="s">
        <v>16</v>
      </c>
      <c r="F937" s="4" t="s">
        <v>24</v>
      </c>
      <c r="G937" s="7">
        <v>0</v>
      </c>
      <c r="H937" s="1">
        <v>0</v>
      </c>
      <c r="I937" s="4">
        <v>1</v>
      </c>
      <c r="J937" s="8">
        <v>4.5138888888888893E-3</v>
      </c>
      <c r="K937" s="4"/>
      <c r="L937" s="4"/>
      <c r="M937" s="4" t="s">
        <v>52</v>
      </c>
      <c r="N937" s="4" t="s">
        <v>27</v>
      </c>
      <c r="O937" s="4" t="s">
        <v>33</v>
      </c>
    </row>
    <row r="938" spans="2:15" ht="21" customHeight="1" x14ac:dyDescent="0.3">
      <c r="B938" s="11" t="s">
        <v>74</v>
      </c>
      <c r="C938" s="12">
        <v>23</v>
      </c>
      <c r="D938" s="13" t="s">
        <v>29</v>
      </c>
      <c r="E938" s="11" t="s">
        <v>42</v>
      </c>
      <c r="F938" s="11" t="s">
        <v>24</v>
      </c>
      <c r="G938" s="14">
        <v>0</v>
      </c>
      <c r="H938" s="15">
        <v>0</v>
      </c>
      <c r="I938" s="11">
        <v>3</v>
      </c>
      <c r="J938" s="16">
        <v>4.5138888888888893E-3</v>
      </c>
      <c r="K938" s="11"/>
      <c r="L938" s="11"/>
      <c r="M938" s="11" t="s">
        <v>55</v>
      </c>
      <c r="N938" s="11" t="s">
        <v>21</v>
      </c>
      <c r="O938" s="11" t="s">
        <v>45</v>
      </c>
    </row>
    <row r="939" spans="2:15" ht="21" customHeight="1" x14ac:dyDescent="0.3">
      <c r="B939" s="4" t="s">
        <v>74</v>
      </c>
      <c r="C939" s="5">
        <v>5</v>
      </c>
      <c r="D939" s="6" t="s">
        <v>41</v>
      </c>
      <c r="E939" s="4" t="s">
        <v>16</v>
      </c>
      <c r="F939" s="4" t="s">
        <v>17</v>
      </c>
      <c r="G939" s="7">
        <v>0</v>
      </c>
      <c r="H939" s="1">
        <v>0</v>
      </c>
      <c r="I939" s="4">
        <v>1</v>
      </c>
      <c r="J939" s="8">
        <v>4.5138888888888893E-3</v>
      </c>
      <c r="K939" s="4"/>
      <c r="L939" s="4"/>
      <c r="M939" s="4" t="s">
        <v>32</v>
      </c>
      <c r="N939" s="4" t="s">
        <v>21</v>
      </c>
      <c r="O939" s="4" t="s">
        <v>66</v>
      </c>
    </row>
    <row r="940" spans="2:15" ht="21" customHeight="1" x14ac:dyDescent="0.3">
      <c r="B940" s="11" t="s">
        <v>74</v>
      </c>
      <c r="C940" s="12">
        <v>10</v>
      </c>
      <c r="D940" s="13" t="s">
        <v>41</v>
      </c>
      <c r="E940" s="11" t="s">
        <v>53</v>
      </c>
      <c r="F940" s="11" t="s">
        <v>24</v>
      </c>
      <c r="G940" s="14">
        <v>0</v>
      </c>
      <c r="H940" s="15">
        <v>0</v>
      </c>
      <c r="I940" s="11">
        <v>6</v>
      </c>
      <c r="J940" s="16">
        <v>4.5138888888888893E-3</v>
      </c>
      <c r="K940" s="11"/>
      <c r="L940" s="11"/>
      <c r="M940" s="11" t="s">
        <v>47</v>
      </c>
      <c r="N940" s="11" t="s">
        <v>36</v>
      </c>
      <c r="O940" s="11" t="s">
        <v>69</v>
      </c>
    </row>
    <row r="941" spans="2:15" ht="21" customHeight="1" x14ac:dyDescent="0.3">
      <c r="B941" s="4" t="s">
        <v>74</v>
      </c>
      <c r="C941" s="5">
        <v>24</v>
      </c>
      <c r="D941" s="6" t="s">
        <v>41</v>
      </c>
      <c r="E941" s="4" t="s">
        <v>53</v>
      </c>
      <c r="F941" s="4" t="s">
        <v>46</v>
      </c>
      <c r="G941" s="7">
        <v>0</v>
      </c>
      <c r="H941" s="1">
        <v>0</v>
      </c>
      <c r="I941" s="4">
        <v>3</v>
      </c>
      <c r="J941" s="8">
        <v>4.5138888888888893E-3</v>
      </c>
      <c r="K941" s="4"/>
      <c r="L941" s="4"/>
      <c r="M941" s="4" t="s">
        <v>26</v>
      </c>
      <c r="N941" s="4" t="s">
        <v>39</v>
      </c>
      <c r="O941" s="4" t="s">
        <v>71</v>
      </c>
    </row>
    <row r="942" spans="2:15" ht="21" customHeight="1" x14ac:dyDescent="0.3">
      <c r="B942" s="11" t="s">
        <v>74</v>
      </c>
      <c r="C942" s="12">
        <v>29</v>
      </c>
      <c r="D942" s="13" t="s">
        <v>73</v>
      </c>
      <c r="E942" s="11" t="s">
        <v>42</v>
      </c>
      <c r="F942" s="11" t="s">
        <v>46</v>
      </c>
      <c r="G942" s="14">
        <v>0</v>
      </c>
      <c r="H942" s="15">
        <v>0</v>
      </c>
      <c r="I942" s="11">
        <v>3</v>
      </c>
      <c r="J942" s="16">
        <v>4.5138888888888893E-3</v>
      </c>
      <c r="K942" s="11"/>
      <c r="L942" s="11"/>
      <c r="M942" s="11" t="s">
        <v>47</v>
      </c>
      <c r="N942" s="11" t="s">
        <v>27</v>
      </c>
      <c r="O942" s="11" t="s">
        <v>28</v>
      </c>
    </row>
    <row r="943" spans="2:15" ht="21" customHeight="1" x14ac:dyDescent="0.3">
      <c r="B943" s="4" t="s">
        <v>74</v>
      </c>
      <c r="C943" s="5">
        <v>30</v>
      </c>
      <c r="D943" s="6" t="s">
        <v>73</v>
      </c>
      <c r="E943" s="4" t="s">
        <v>30</v>
      </c>
      <c r="F943" s="4" t="s">
        <v>72</v>
      </c>
      <c r="G943" s="7">
        <v>0</v>
      </c>
      <c r="H943" s="1">
        <v>0</v>
      </c>
      <c r="I943" s="4">
        <v>1</v>
      </c>
      <c r="J943" s="8">
        <v>4.5138888888888893E-3</v>
      </c>
      <c r="K943" s="4"/>
      <c r="L943" s="4"/>
      <c r="M943" s="4" t="s">
        <v>26</v>
      </c>
      <c r="N943" s="4" t="s">
        <v>21</v>
      </c>
      <c r="O943" s="4" t="s">
        <v>22</v>
      </c>
    </row>
    <row r="944" spans="2:15" ht="21" customHeight="1" x14ac:dyDescent="0.3">
      <c r="B944" s="11" t="s">
        <v>74</v>
      </c>
      <c r="C944" s="12">
        <v>21</v>
      </c>
      <c r="D944" s="13" t="s">
        <v>73</v>
      </c>
      <c r="E944" s="11" t="s">
        <v>16</v>
      </c>
      <c r="F944" s="11" t="s">
        <v>24</v>
      </c>
      <c r="G944" s="14">
        <v>0</v>
      </c>
      <c r="H944" s="15">
        <v>0</v>
      </c>
      <c r="I944" s="11">
        <v>2</v>
      </c>
      <c r="J944" s="16">
        <v>4.5138888888888893E-3</v>
      </c>
      <c r="K944" s="11"/>
      <c r="L944" s="11"/>
      <c r="M944" s="11" t="s">
        <v>52</v>
      </c>
      <c r="N944" s="11" t="s">
        <v>27</v>
      </c>
      <c r="O944" s="11" t="s">
        <v>28</v>
      </c>
    </row>
    <row r="945" spans="2:15" ht="21" customHeight="1" x14ac:dyDescent="0.3">
      <c r="B945" s="4" t="s">
        <v>74</v>
      </c>
      <c r="C945" s="5">
        <v>19</v>
      </c>
      <c r="D945" s="6" t="s">
        <v>62</v>
      </c>
      <c r="E945" s="4" t="s">
        <v>16</v>
      </c>
      <c r="F945" s="4" t="s">
        <v>24</v>
      </c>
      <c r="G945" s="7">
        <v>0</v>
      </c>
      <c r="H945" s="1">
        <v>0</v>
      </c>
      <c r="I945" s="4">
        <v>3</v>
      </c>
      <c r="J945" s="8">
        <v>4.5138888888888893E-3</v>
      </c>
      <c r="K945" s="4"/>
      <c r="L945" s="4"/>
      <c r="M945" s="4" t="s">
        <v>26</v>
      </c>
      <c r="N945" s="4" t="s">
        <v>39</v>
      </c>
      <c r="O945" s="4" t="s">
        <v>40</v>
      </c>
    </row>
    <row r="946" spans="2:15" ht="21" customHeight="1" x14ac:dyDescent="0.3">
      <c r="B946" s="11" t="s">
        <v>74</v>
      </c>
      <c r="C946" s="12">
        <v>3</v>
      </c>
      <c r="D946" s="13" t="s">
        <v>76</v>
      </c>
      <c r="E946" s="11" t="s">
        <v>16</v>
      </c>
      <c r="F946" s="11" t="s">
        <v>24</v>
      </c>
      <c r="G946" s="14">
        <v>0</v>
      </c>
      <c r="H946" s="15">
        <v>0</v>
      </c>
      <c r="I946" s="11">
        <v>1</v>
      </c>
      <c r="J946" s="16">
        <v>4.5138888888888893E-3</v>
      </c>
      <c r="K946" s="11"/>
      <c r="L946" s="11"/>
      <c r="M946" s="11" t="s">
        <v>52</v>
      </c>
      <c r="N946" s="11" t="s">
        <v>27</v>
      </c>
      <c r="O946" s="11" t="s">
        <v>33</v>
      </c>
    </row>
    <row r="947" spans="2:15" ht="21" customHeight="1" x14ac:dyDescent="0.3">
      <c r="B947" s="4" t="s">
        <v>14</v>
      </c>
      <c r="C947" s="5">
        <v>19</v>
      </c>
      <c r="D947" s="6" t="s">
        <v>61</v>
      </c>
      <c r="E947" s="4" t="s">
        <v>30</v>
      </c>
      <c r="F947" s="4" t="s">
        <v>49</v>
      </c>
      <c r="G947" s="7">
        <v>2</v>
      </c>
      <c r="H947" s="1">
        <v>12000000</v>
      </c>
      <c r="I947" s="4">
        <v>3</v>
      </c>
      <c r="J947" s="8">
        <v>4.9768518518518521E-3</v>
      </c>
      <c r="K947" s="4" t="s">
        <v>18</v>
      </c>
      <c r="L947" s="4" t="s">
        <v>25</v>
      </c>
      <c r="M947" s="4" t="s">
        <v>52</v>
      </c>
      <c r="N947" s="4" t="s">
        <v>27</v>
      </c>
      <c r="O947" s="4" t="s">
        <v>56</v>
      </c>
    </row>
    <row r="948" spans="2:15" ht="21" customHeight="1" x14ac:dyDescent="0.3">
      <c r="B948" s="11" t="s">
        <v>14</v>
      </c>
      <c r="C948" s="12">
        <v>22</v>
      </c>
      <c r="D948" s="13" t="s">
        <v>29</v>
      </c>
      <c r="E948" s="11" t="s">
        <v>77</v>
      </c>
      <c r="F948" s="11" t="s">
        <v>17</v>
      </c>
      <c r="G948" s="14">
        <v>4</v>
      </c>
      <c r="H948" s="15">
        <v>15000000</v>
      </c>
      <c r="I948" s="11">
        <v>2</v>
      </c>
      <c r="J948" s="16">
        <v>4.9768518518518521E-3</v>
      </c>
      <c r="K948" s="11" t="s">
        <v>18</v>
      </c>
      <c r="L948" s="11" t="s">
        <v>38</v>
      </c>
      <c r="M948" s="11" t="s">
        <v>47</v>
      </c>
      <c r="N948" s="11" t="s">
        <v>36</v>
      </c>
      <c r="O948" s="11" t="s">
        <v>58</v>
      </c>
    </row>
    <row r="949" spans="2:15" ht="21" customHeight="1" x14ac:dyDescent="0.3">
      <c r="B949" s="4" t="s">
        <v>14</v>
      </c>
      <c r="C949" s="5">
        <v>25</v>
      </c>
      <c r="D949" s="6" t="s">
        <v>41</v>
      </c>
      <c r="E949" s="4" t="s">
        <v>16</v>
      </c>
      <c r="F949" s="4" t="s">
        <v>46</v>
      </c>
      <c r="G949" s="7">
        <v>1</v>
      </c>
      <c r="H949" s="1">
        <v>19000000</v>
      </c>
      <c r="I949" s="4">
        <v>4</v>
      </c>
      <c r="J949" s="8">
        <v>4.9768518518518521E-3</v>
      </c>
      <c r="K949" s="4" t="s">
        <v>50</v>
      </c>
      <c r="L949" s="4" t="s">
        <v>68</v>
      </c>
      <c r="M949" s="4" t="s">
        <v>32</v>
      </c>
      <c r="N949" s="4" t="s">
        <v>39</v>
      </c>
      <c r="O949" s="4" t="s">
        <v>40</v>
      </c>
    </row>
    <row r="950" spans="2:15" ht="21" customHeight="1" x14ac:dyDescent="0.3">
      <c r="B950" s="11" t="s">
        <v>14</v>
      </c>
      <c r="C950" s="12">
        <v>31</v>
      </c>
      <c r="D950" s="13" t="s">
        <v>41</v>
      </c>
      <c r="E950" s="11" t="s">
        <v>16</v>
      </c>
      <c r="F950" s="11" t="s">
        <v>17</v>
      </c>
      <c r="G950" s="14">
        <v>3</v>
      </c>
      <c r="H950" s="15">
        <v>11000000</v>
      </c>
      <c r="I950" s="11">
        <v>1</v>
      </c>
      <c r="J950" s="16">
        <v>4.9768518518518521E-3</v>
      </c>
      <c r="K950" s="11" t="s">
        <v>18</v>
      </c>
      <c r="L950" s="11" t="s">
        <v>43</v>
      </c>
      <c r="M950" s="11" t="s">
        <v>35</v>
      </c>
      <c r="N950" s="11" t="s">
        <v>27</v>
      </c>
      <c r="O950" s="11" t="s">
        <v>28</v>
      </c>
    </row>
    <row r="951" spans="2:15" ht="21" customHeight="1" x14ac:dyDescent="0.3">
      <c r="B951" s="4" t="s">
        <v>14</v>
      </c>
      <c r="C951" s="5">
        <v>29</v>
      </c>
      <c r="D951" s="6" t="s">
        <v>41</v>
      </c>
      <c r="E951" s="4" t="s">
        <v>53</v>
      </c>
      <c r="F951" s="4" t="s">
        <v>24</v>
      </c>
      <c r="G951" s="7">
        <v>2</v>
      </c>
      <c r="H951" s="1">
        <v>12000000</v>
      </c>
      <c r="I951" s="4">
        <v>3</v>
      </c>
      <c r="J951" s="8">
        <v>4.9768518518518521E-3</v>
      </c>
      <c r="K951" s="4" t="s">
        <v>18</v>
      </c>
      <c r="L951" s="4" t="s">
        <v>43</v>
      </c>
      <c r="M951" s="4" t="s">
        <v>44</v>
      </c>
      <c r="N951" s="4" t="s">
        <v>27</v>
      </c>
      <c r="O951" s="4" t="s">
        <v>28</v>
      </c>
    </row>
    <row r="952" spans="2:15" ht="21" customHeight="1" x14ac:dyDescent="0.3">
      <c r="B952" s="11" t="s">
        <v>14</v>
      </c>
      <c r="C952" s="12">
        <v>2</v>
      </c>
      <c r="D952" s="13" t="s">
        <v>48</v>
      </c>
      <c r="E952" s="11" t="s">
        <v>53</v>
      </c>
      <c r="F952" s="11" t="s">
        <v>72</v>
      </c>
      <c r="G952" s="14">
        <v>2</v>
      </c>
      <c r="H952" s="15">
        <v>38000000</v>
      </c>
      <c r="I952" s="11">
        <v>1</v>
      </c>
      <c r="J952" s="16">
        <v>4.9768518518518521E-3</v>
      </c>
      <c r="K952" s="11" t="s">
        <v>50</v>
      </c>
      <c r="L952" s="11" t="s">
        <v>19</v>
      </c>
      <c r="M952" s="11" t="s">
        <v>32</v>
      </c>
      <c r="N952" s="11" t="s">
        <v>36</v>
      </c>
      <c r="O952" s="11" t="s">
        <v>58</v>
      </c>
    </row>
    <row r="953" spans="2:15" ht="21" customHeight="1" x14ac:dyDescent="0.3">
      <c r="B953" s="4" t="s">
        <v>14</v>
      </c>
      <c r="C953" s="5">
        <v>22</v>
      </c>
      <c r="D953" s="6" t="s">
        <v>48</v>
      </c>
      <c r="E953" s="4" t="s">
        <v>77</v>
      </c>
      <c r="F953" s="4" t="s">
        <v>24</v>
      </c>
      <c r="G953" s="7">
        <v>5</v>
      </c>
      <c r="H953" s="1">
        <v>25000000</v>
      </c>
      <c r="I953" s="4">
        <v>3</v>
      </c>
      <c r="J953" s="8">
        <v>4.9768518518518521E-3</v>
      </c>
      <c r="K953" s="4" t="s">
        <v>18</v>
      </c>
      <c r="L953" s="4" t="s">
        <v>60</v>
      </c>
      <c r="M953" s="4" t="s">
        <v>52</v>
      </c>
      <c r="N953" s="4" t="s">
        <v>27</v>
      </c>
      <c r="O953" s="4" t="s">
        <v>56</v>
      </c>
    </row>
    <row r="954" spans="2:15" ht="21" customHeight="1" x14ac:dyDescent="0.3">
      <c r="B954" s="11" t="s">
        <v>14</v>
      </c>
      <c r="C954" s="12">
        <v>29</v>
      </c>
      <c r="D954" s="13" t="s">
        <v>73</v>
      </c>
      <c r="E954" s="11" t="s">
        <v>16</v>
      </c>
      <c r="F954" s="11" t="s">
        <v>24</v>
      </c>
      <c r="G954" s="14">
        <v>1</v>
      </c>
      <c r="H954" s="15">
        <v>7000000</v>
      </c>
      <c r="I954" s="11">
        <v>1</v>
      </c>
      <c r="J954" s="16">
        <v>4.9768518518518521E-3</v>
      </c>
      <c r="K954" s="11" t="s">
        <v>18</v>
      </c>
      <c r="L954" s="11" t="s">
        <v>38</v>
      </c>
      <c r="M954" s="11" t="s">
        <v>32</v>
      </c>
      <c r="N954" s="11" t="s">
        <v>21</v>
      </c>
      <c r="O954" s="11" t="s">
        <v>66</v>
      </c>
    </row>
    <row r="955" spans="2:15" ht="21" customHeight="1" x14ac:dyDescent="0.3">
      <c r="B955" s="4" t="s">
        <v>14</v>
      </c>
      <c r="C955" s="5">
        <v>19</v>
      </c>
      <c r="D955" s="6" t="s">
        <v>61</v>
      </c>
      <c r="E955" s="4" t="s">
        <v>30</v>
      </c>
      <c r="F955" s="4" t="s">
        <v>49</v>
      </c>
      <c r="G955" s="7">
        <v>2</v>
      </c>
      <c r="H955" s="1">
        <v>12000000</v>
      </c>
      <c r="I955" s="4">
        <v>3</v>
      </c>
      <c r="J955" s="8">
        <v>4.9768518518518521E-3</v>
      </c>
      <c r="K955" s="4" t="s">
        <v>18</v>
      </c>
      <c r="L955" s="4" t="s">
        <v>25</v>
      </c>
      <c r="M955" s="4" t="s">
        <v>52</v>
      </c>
      <c r="N955" s="4" t="s">
        <v>27</v>
      </c>
      <c r="O955" s="4" t="s">
        <v>56</v>
      </c>
    </row>
    <row r="956" spans="2:15" ht="21" customHeight="1" x14ac:dyDescent="0.3">
      <c r="B956" s="11" t="s">
        <v>74</v>
      </c>
      <c r="C956" s="12">
        <v>28</v>
      </c>
      <c r="D956" s="13" t="s">
        <v>29</v>
      </c>
      <c r="E956" s="11" t="s">
        <v>42</v>
      </c>
      <c r="F956" s="11" t="s">
        <v>46</v>
      </c>
      <c r="G956" s="14">
        <v>0</v>
      </c>
      <c r="H956" s="15">
        <v>0</v>
      </c>
      <c r="I956" s="11">
        <v>1</v>
      </c>
      <c r="J956" s="16">
        <v>4.9768518518518521E-3</v>
      </c>
      <c r="K956" s="11"/>
      <c r="L956" s="11"/>
      <c r="M956" s="11" t="s">
        <v>55</v>
      </c>
      <c r="N956" s="11" t="s">
        <v>21</v>
      </c>
      <c r="O956" s="11" t="s">
        <v>70</v>
      </c>
    </row>
    <row r="957" spans="2:15" ht="21" customHeight="1" x14ac:dyDescent="0.3">
      <c r="B957" s="4" t="s">
        <v>74</v>
      </c>
      <c r="C957" s="5">
        <v>5</v>
      </c>
      <c r="D957" s="6" t="s">
        <v>41</v>
      </c>
      <c r="E957" s="4" t="s">
        <v>42</v>
      </c>
      <c r="F957" s="4" t="s">
        <v>46</v>
      </c>
      <c r="G957" s="7">
        <v>0</v>
      </c>
      <c r="H957" s="1">
        <v>0</v>
      </c>
      <c r="I957" s="4">
        <v>2</v>
      </c>
      <c r="J957" s="8">
        <v>4.9768518518518521E-3</v>
      </c>
      <c r="K957" s="4"/>
      <c r="L957" s="4"/>
      <c r="M957" s="4" t="s">
        <v>20</v>
      </c>
      <c r="N957" s="4" t="s">
        <v>21</v>
      </c>
      <c r="O957" s="4" t="s">
        <v>57</v>
      </c>
    </row>
    <row r="958" spans="2:15" ht="21" customHeight="1" x14ac:dyDescent="0.3">
      <c r="B958" s="11" t="s">
        <v>74</v>
      </c>
      <c r="C958" s="12">
        <v>29</v>
      </c>
      <c r="D958" s="13" t="s">
        <v>41</v>
      </c>
      <c r="E958" s="11" t="s">
        <v>34</v>
      </c>
      <c r="F958" s="11" t="s">
        <v>49</v>
      </c>
      <c r="G958" s="14">
        <v>0</v>
      </c>
      <c r="H958" s="15">
        <v>0</v>
      </c>
      <c r="I958" s="11">
        <v>5</v>
      </c>
      <c r="J958" s="16">
        <v>4.9768518518518521E-3</v>
      </c>
      <c r="K958" s="11"/>
      <c r="L958" s="11"/>
      <c r="M958" s="11" t="s">
        <v>26</v>
      </c>
      <c r="N958" s="11" t="s">
        <v>39</v>
      </c>
      <c r="O958" s="11" t="s">
        <v>40</v>
      </c>
    </row>
    <row r="959" spans="2:15" ht="21" customHeight="1" x14ac:dyDescent="0.3">
      <c r="B959" s="4" t="s">
        <v>74</v>
      </c>
      <c r="C959" s="5">
        <v>30</v>
      </c>
      <c r="D959" s="6" t="s">
        <v>48</v>
      </c>
      <c r="E959" s="4" t="s">
        <v>34</v>
      </c>
      <c r="F959" s="4" t="s">
        <v>46</v>
      </c>
      <c r="G959" s="7">
        <v>0</v>
      </c>
      <c r="H959" s="1">
        <v>0</v>
      </c>
      <c r="I959" s="4">
        <v>1</v>
      </c>
      <c r="J959" s="8">
        <v>4.9768518518518521E-3</v>
      </c>
      <c r="K959" s="4"/>
      <c r="L959" s="4"/>
      <c r="M959" s="4" t="s">
        <v>35</v>
      </c>
      <c r="N959" s="4" t="s">
        <v>21</v>
      </c>
      <c r="O959" s="4" t="s">
        <v>70</v>
      </c>
    </row>
    <row r="960" spans="2:15" ht="21" customHeight="1" x14ac:dyDescent="0.3">
      <c r="B960" s="11" t="s">
        <v>74</v>
      </c>
      <c r="C960" s="12">
        <v>15</v>
      </c>
      <c r="D960" s="13" t="s">
        <v>48</v>
      </c>
      <c r="E960" s="11" t="s">
        <v>53</v>
      </c>
      <c r="F960" s="11" t="s">
        <v>46</v>
      </c>
      <c r="G960" s="14">
        <v>0</v>
      </c>
      <c r="H960" s="15">
        <v>0</v>
      </c>
      <c r="I960" s="11">
        <v>4</v>
      </c>
      <c r="J960" s="16">
        <v>4.9768518518518521E-3</v>
      </c>
      <c r="K960" s="11"/>
      <c r="L960" s="11"/>
      <c r="M960" s="11" t="s">
        <v>55</v>
      </c>
      <c r="N960" s="11" t="s">
        <v>21</v>
      </c>
      <c r="O960" s="11" t="s">
        <v>70</v>
      </c>
    </row>
    <row r="961" spans="2:15" ht="21" customHeight="1" x14ac:dyDescent="0.3">
      <c r="B961" s="4" t="s">
        <v>14</v>
      </c>
      <c r="C961" s="5">
        <v>14</v>
      </c>
      <c r="D961" s="6" t="s">
        <v>59</v>
      </c>
      <c r="E961" s="4" t="s">
        <v>34</v>
      </c>
      <c r="F961" s="4" t="s">
        <v>17</v>
      </c>
      <c r="G961" s="7">
        <v>5</v>
      </c>
      <c r="H961" s="1">
        <v>20000000</v>
      </c>
      <c r="I961" s="4">
        <v>6</v>
      </c>
      <c r="J961" s="8">
        <v>5.0231481481481481E-3</v>
      </c>
      <c r="K961" s="4" t="s">
        <v>18</v>
      </c>
      <c r="L961" s="4" t="s">
        <v>51</v>
      </c>
      <c r="M961" s="4" t="s">
        <v>35</v>
      </c>
      <c r="N961" s="4" t="s">
        <v>21</v>
      </c>
      <c r="O961" s="4" t="s">
        <v>57</v>
      </c>
    </row>
    <row r="962" spans="2:15" ht="21" customHeight="1" x14ac:dyDescent="0.3">
      <c r="B962" s="11" t="s">
        <v>14</v>
      </c>
      <c r="C962" s="12">
        <v>11</v>
      </c>
      <c r="D962" s="13" t="s">
        <v>61</v>
      </c>
      <c r="E962" s="11" t="s">
        <v>16</v>
      </c>
      <c r="F962" s="11" t="s">
        <v>24</v>
      </c>
      <c r="G962" s="14">
        <v>1</v>
      </c>
      <c r="H962" s="15">
        <v>19000000</v>
      </c>
      <c r="I962" s="11">
        <v>3</v>
      </c>
      <c r="J962" s="16">
        <v>5.0231481481481481E-3</v>
      </c>
      <c r="K962" s="11" t="s">
        <v>50</v>
      </c>
      <c r="L962" s="11" t="s">
        <v>43</v>
      </c>
      <c r="M962" s="11" t="s">
        <v>52</v>
      </c>
      <c r="N962" s="11" t="s">
        <v>27</v>
      </c>
      <c r="O962" s="11" t="s">
        <v>28</v>
      </c>
    </row>
    <row r="963" spans="2:15" ht="21" customHeight="1" x14ac:dyDescent="0.3">
      <c r="B963" s="4" t="s">
        <v>14</v>
      </c>
      <c r="C963" s="5">
        <v>13</v>
      </c>
      <c r="D963" s="6" t="s">
        <v>63</v>
      </c>
      <c r="E963" s="4" t="s">
        <v>34</v>
      </c>
      <c r="F963" s="4" t="s">
        <v>46</v>
      </c>
      <c r="G963" s="7">
        <v>2</v>
      </c>
      <c r="H963" s="1">
        <v>12000000</v>
      </c>
      <c r="I963" s="4">
        <v>1</v>
      </c>
      <c r="J963" s="8">
        <v>5.0231481481481481E-3</v>
      </c>
      <c r="K963" s="4" t="s">
        <v>18</v>
      </c>
      <c r="L963" s="4" t="s">
        <v>43</v>
      </c>
      <c r="M963" s="4" t="s">
        <v>55</v>
      </c>
      <c r="N963" s="4" t="s">
        <v>27</v>
      </c>
      <c r="O963" s="4" t="s">
        <v>28</v>
      </c>
    </row>
    <row r="964" spans="2:15" ht="21" customHeight="1" x14ac:dyDescent="0.3">
      <c r="B964" s="11" t="s">
        <v>14</v>
      </c>
      <c r="C964" s="12">
        <v>28</v>
      </c>
      <c r="D964" s="13" t="s">
        <v>23</v>
      </c>
      <c r="E964" s="11" t="s">
        <v>34</v>
      </c>
      <c r="F964" s="11" t="s">
        <v>46</v>
      </c>
      <c r="G964" s="14">
        <v>2</v>
      </c>
      <c r="H964" s="15">
        <v>38000000</v>
      </c>
      <c r="I964" s="11">
        <v>5</v>
      </c>
      <c r="J964" s="16">
        <v>5.0231481481481481E-3</v>
      </c>
      <c r="K964" s="11" t="s">
        <v>50</v>
      </c>
      <c r="L964" s="11" t="s">
        <v>60</v>
      </c>
      <c r="M964" s="11" t="s">
        <v>55</v>
      </c>
      <c r="N964" s="11" t="s">
        <v>21</v>
      </c>
      <c r="O964" s="11" t="s">
        <v>45</v>
      </c>
    </row>
    <row r="965" spans="2:15" ht="21" customHeight="1" x14ac:dyDescent="0.3">
      <c r="B965" s="4" t="s">
        <v>14</v>
      </c>
      <c r="C965" s="5">
        <v>30</v>
      </c>
      <c r="D965" s="6" t="s">
        <v>29</v>
      </c>
      <c r="E965" s="4" t="s">
        <v>34</v>
      </c>
      <c r="F965" s="4" t="s">
        <v>17</v>
      </c>
      <c r="G965" s="7">
        <v>1</v>
      </c>
      <c r="H965" s="1">
        <v>7000000</v>
      </c>
      <c r="I965" s="4">
        <v>1</v>
      </c>
      <c r="J965" s="8">
        <v>5.0231481481481481E-3</v>
      </c>
      <c r="K965" s="4" t="s">
        <v>18</v>
      </c>
      <c r="L965" s="4" t="s">
        <v>38</v>
      </c>
      <c r="M965" s="4" t="s">
        <v>32</v>
      </c>
      <c r="N965" s="4" t="s">
        <v>36</v>
      </c>
      <c r="O965" s="4" t="s">
        <v>58</v>
      </c>
    </row>
    <row r="966" spans="2:15" ht="21" customHeight="1" x14ac:dyDescent="0.3">
      <c r="B966" s="11" t="s">
        <v>14</v>
      </c>
      <c r="C966" s="12">
        <v>20</v>
      </c>
      <c r="D966" s="13" t="s">
        <v>29</v>
      </c>
      <c r="E966" s="11" t="s">
        <v>34</v>
      </c>
      <c r="F966" s="11" t="s">
        <v>17</v>
      </c>
      <c r="G966" s="14">
        <v>2</v>
      </c>
      <c r="H966" s="15">
        <v>12000000</v>
      </c>
      <c r="I966" s="11">
        <v>2</v>
      </c>
      <c r="J966" s="16">
        <v>5.0231481481481481E-3</v>
      </c>
      <c r="K966" s="11" t="s">
        <v>18</v>
      </c>
      <c r="L966" s="11" t="s">
        <v>19</v>
      </c>
      <c r="M966" s="11" t="s">
        <v>47</v>
      </c>
      <c r="N966" s="11" t="s">
        <v>21</v>
      </c>
      <c r="O966" s="11" t="s">
        <v>45</v>
      </c>
    </row>
    <row r="967" spans="2:15" ht="21" customHeight="1" x14ac:dyDescent="0.3">
      <c r="B967" s="4" t="s">
        <v>14</v>
      </c>
      <c r="C967" s="5">
        <v>22</v>
      </c>
      <c r="D967" s="6" t="s">
        <v>41</v>
      </c>
      <c r="E967" s="4" t="s">
        <v>16</v>
      </c>
      <c r="F967" s="4" t="s">
        <v>17</v>
      </c>
      <c r="G967" s="7">
        <v>2</v>
      </c>
      <c r="H967" s="1">
        <v>12000000</v>
      </c>
      <c r="I967" s="4">
        <v>2</v>
      </c>
      <c r="J967" s="8">
        <v>5.0231481481481481E-3</v>
      </c>
      <c r="K967" s="4" t="s">
        <v>18</v>
      </c>
      <c r="L967" s="4" t="s">
        <v>31</v>
      </c>
      <c r="M967" s="4" t="s">
        <v>26</v>
      </c>
      <c r="N967" s="4" t="s">
        <v>27</v>
      </c>
      <c r="O967" s="4" t="s">
        <v>56</v>
      </c>
    </row>
    <row r="968" spans="2:15" ht="21" customHeight="1" x14ac:dyDescent="0.3">
      <c r="B968" s="11" t="s">
        <v>14</v>
      </c>
      <c r="C968" s="12">
        <v>17</v>
      </c>
      <c r="D968" s="13" t="s">
        <v>48</v>
      </c>
      <c r="E968" s="11" t="s">
        <v>42</v>
      </c>
      <c r="F968" s="11" t="s">
        <v>49</v>
      </c>
      <c r="G968" s="14">
        <v>3</v>
      </c>
      <c r="H968" s="15">
        <v>15000000</v>
      </c>
      <c r="I968" s="11">
        <v>2</v>
      </c>
      <c r="J968" s="16">
        <v>5.0231481481481481E-3</v>
      </c>
      <c r="K968" s="11" t="s">
        <v>18</v>
      </c>
      <c r="L968" s="11" t="s">
        <v>25</v>
      </c>
      <c r="M968" s="11" t="s">
        <v>26</v>
      </c>
      <c r="N968" s="11" t="s">
        <v>21</v>
      </c>
      <c r="O968" s="11" t="s">
        <v>70</v>
      </c>
    </row>
    <row r="969" spans="2:15" ht="21" customHeight="1" x14ac:dyDescent="0.3">
      <c r="B969" s="4" t="s">
        <v>14</v>
      </c>
      <c r="C969" s="5">
        <v>20</v>
      </c>
      <c r="D969" s="6" t="s">
        <v>48</v>
      </c>
      <c r="E969" s="4" t="s">
        <v>42</v>
      </c>
      <c r="F969" s="4" t="s">
        <v>46</v>
      </c>
      <c r="G969" s="7">
        <v>3</v>
      </c>
      <c r="H969" s="1">
        <v>11000000</v>
      </c>
      <c r="I969" s="4">
        <v>2</v>
      </c>
      <c r="J969" s="8">
        <v>5.0231481481481481E-3</v>
      </c>
      <c r="K969" s="4" t="s">
        <v>18</v>
      </c>
      <c r="L969" s="4" t="s">
        <v>43</v>
      </c>
      <c r="M969" s="4" t="s">
        <v>32</v>
      </c>
      <c r="N969" s="4" t="s">
        <v>27</v>
      </c>
      <c r="O969" s="4" t="s">
        <v>28</v>
      </c>
    </row>
    <row r="970" spans="2:15" ht="21" customHeight="1" x14ac:dyDescent="0.3">
      <c r="B970" s="11" t="s">
        <v>14</v>
      </c>
      <c r="C970" s="12">
        <v>22</v>
      </c>
      <c r="D970" s="13" t="s">
        <v>48</v>
      </c>
      <c r="E970" s="11" t="s">
        <v>16</v>
      </c>
      <c r="F970" s="11" t="s">
        <v>72</v>
      </c>
      <c r="G970" s="14">
        <v>5</v>
      </c>
      <c r="H970" s="15">
        <v>25000000</v>
      </c>
      <c r="I970" s="11">
        <v>4</v>
      </c>
      <c r="J970" s="16">
        <v>5.0231481481481481E-3</v>
      </c>
      <c r="K970" s="11" t="s">
        <v>18</v>
      </c>
      <c r="L970" s="11" t="s">
        <v>25</v>
      </c>
      <c r="M970" s="11" t="s">
        <v>20</v>
      </c>
      <c r="N970" s="11" t="s">
        <v>27</v>
      </c>
      <c r="O970" s="11" t="s">
        <v>56</v>
      </c>
    </row>
    <row r="971" spans="2:15" ht="21" customHeight="1" x14ac:dyDescent="0.3">
      <c r="B971" s="4" t="s">
        <v>14</v>
      </c>
      <c r="C971" s="5">
        <v>3</v>
      </c>
      <c r="D971" s="6" t="s">
        <v>48</v>
      </c>
      <c r="E971" s="4" t="s">
        <v>34</v>
      </c>
      <c r="F971" s="4" t="s">
        <v>17</v>
      </c>
      <c r="G971" s="7">
        <v>4</v>
      </c>
      <c r="H971" s="1">
        <v>15000000</v>
      </c>
      <c r="I971" s="4">
        <v>3</v>
      </c>
      <c r="J971" s="8">
        <v>5.0231481481481481E-3</v>
      </c>
      <c r="K971" s="4" t="s">
        <v>18</v>
      </c>
      <c r="L971" s="4" t="s">
        <v>68</v>
      </c>
      <c r="M971" s="4" t="s">
        <v>55</v>
      </c>
      <c r="N971" s="4" t="s">
        <v>21</v>
      </c>
      <c r="O971" s="4" t="s">
        <v>45</v>
      </c>
    </row>
    <row r="972" spans="2:15" ht="21" customHeight="1" x14ac:dyDescent="0.3">
      <c r="B972" s="11" t="s">
        <v>14</v>
      </c>
      <c r="C972" s="12">
        <v>14</v>
      </c>
      <c r="D972" s="13" t="s">
        <v>59</v>
      </c>
      <c r="E972" s="11" t="s">
        <v>34</v>
      </c>
      <c r="F972" s="11" t="s">
        <v>17</v>
      </c>
      <c r="G972" s="14">
        <v>5</v>
      </c>
      <c r="H972" s="15">
        <v>20000000</v>
      </c>
      <c r="I972" s="11">
        <v>6</v>
      </c>
      <c r="J972" s="16">
        <v>5.0231481481481481E-3</v>
      </c>
      <c r="K972" s="11" t="s">
        <v>18</v>
      </c>
      <c r="L972" s="11" t="s">
        <v>51</v>
      </c>
      <c r="M972" s="11" t="s">
        <v>35</v>
      </c>
      <c r="N972" s="11" t="s">
        <v>21</v>
      </c>
      <c r="O972" s="11" t="s">
        <v>57</v>
      </c>
    </row>
    <row r="973" spans="2:15" ht="21" customHeight="1" x14ac:dyDescent="0.3">
      <c r="B973" s="4" t="s">
        <v>14</v>
      </c>
      <c r="C973" s="5">
        <v>11</v>
      </c>
      <c r="D973" s="6" t="s">
        <v>61</v>
      </c>
      <c r="E973" s="4" t="s">
        <v>16</v>
      </c>
      <c r="F973" s="4" t="s">
        <v>24</v>
      </c>
      <c r="G973" s="7">
        <v>1</v>
      </c>
      <c r="H973" s="1">
        <v>19000000</v>
      </c>
      <c r="I973" s="4">
        <v>3</v>
      </c>
      <c r="J973" s="8">
        <v>5.0231481481481481E-3</v>
      </c>
      <c r="K973" s="4" t="s">
        <v>50</v>
      </c>
      <c r="L973" s="4" t="s">
        <v>43</v>
      </c>
      <c r="M973" s="4" t="s">
        <v>52</v>
      </c>
      <c r="N973" s="4" t="s">
        <v>27</v>
      </c>
      <c r="O973" s="4" t="s">
        <v>28</v>
      </c>
    </row>
    <row r="974" spans="2:15" ht="21" customHeight="1" x14ac:dyDescent="0.3">
      <c r="B974" s="11" t="s">
        <v>14</v>
      </c>
      <c r="C974" s="12">
        <v>13</v>
      </c>
      <c r="D974" s="13" t="s">
        <v>63</v>
      </c>
      <c r="E974" s="11" t="s">
        <v>34</v>
      </c>
      <c r="F974" s="11" t="s">
        <v>46</v>
      </c>
      <c r="G974" s="14">
        <v>2</v>
      </c>
      <c r="H974" s="15">
        <v>12000000</v>
      </c>
      <c r="I974" s="11">
        <v>1</v>
      </c>
      <c r="J974" s="16">
        <v>5.0231481481481481E-3</v>
      </c>
      <c r="K974" s="11" t="s">
        <v>18</v>
      </c>
      <c r="L974" s="11" t="s">
        <v>43</v>
      </c>
      <c r="M974" s="11" t="s">
        <v>55</v>
      </c>
      <c r="N974" s="11" t="s">
        <v>27</v>
      </c>
      <c r="O974" s="11" t="s">
        <v>28</v>
      </c>
    </row>
    <row r="975" spans="2:15" ht="21" customHeight="1" x14ac:dyDescent="0.3">
      <c r="B975" s="4" t="s">
        <v>14</v>
      </c>
      <c r="C975" s="5">
        <v>28</v>
      </c>
      <c r="D975" s="6" t="s">
        <v>23</v>
      </c>
      <c r="E975" s="4" t="s">
        <v>34</v>
      </c>
      <c r="F975" s="4" t="s">
        <v>46</v>
      </c>
      <c r="G975" s="7">
        <v>2</v>
      </c>
      <c r="H975" s="1">
        <v>38000000</v>
      </c>
      <c r="I975" s="4">
        <v>5</v>
      </c>
      <c r="J975" s="8">
        <v>5.0231481481481481E-3</v>
      </c>
      <c r="K975" s="4" t="s">
        <v>50</v>
      </c>
      <c r="L975" s="4" t="s">
        <v>60</v>
      </c>
      <c r="M975" s="4" t="s">
        <v>55</v>
      </c>
      <c r="N975" s="4" t="s">
        <v>21</v>
      </c>
      <c r="O975" s="4" t="s">
        <v>45</v>
      </c>
    </row>
    <row r="976" spans="2:15" ht="21" customHeight="1" x14ac:dyDescent="0.3">
      <c r="B976" s="11" t="s">
        <v>74</v>
      </c>
      <c r="C976" s="12">
        <v>13</v>
      </c>
      <c r="D976" s="13" t="s">
        <v>62</v>
      </c>
      <c r="E976" s="11" t="s">
        <v>53</v>
      </c>
      <c r="F976" s="11" t="s">
        <v>46</v>
      </c>
      <c r="G976" s="14">
        <v>0</v>
      </c>
      <c r="H976" s="15">
        <v>0</v>
      </c>
      <c r="I976" s="11">
        <v>2</v>
      </c>
      <c r="J976" s="16">
        <v>5.0231481481481481E-3</v>
      </c>
      <c r="K976" s="11"/>
      <c r="L976" s="11"/>
      <c r="M976" s="11" t="s">
        <v>52</v>
      </c>
      <c r="N976" s="11" t="s">
        <v>36</v>
      </c>
      <c r="O976" s="11" t="s">
        <v>69</v>
      </c>
    </row>
    <row r="977" spans="2:15" ht="21" customHeight="1" x14ac:dyDescent="0.3">
      <c r="B977" s="4" t="s">
        <v>74</v>
      </c>
      <c r="C977" s="5">
        <v>11</v>
      </c>
      <c r="D977" s="6" t="s">
        <v>48</v>
      </c>
      <c r="E977" s="4" t="s">
        <v>34</v>
      </c>
      <c r="F977" s="4" t="s">
        <v>24</v>
      </c>
      <c r="G977" s="7">
        <v>0</v>
      </c>
      <c r="H977" s="1">
        <v>0</v>
      </c>
      <c r="I977" s="4">
        <v>2</v>
      </c>
      <c r="J977" s="8">
        <v>5.0231481481481481E-3</v>
      </c>
      <c r="K977" s="4"/>
      <c r="L977" s="4"/>
      <c r="M977" s="4" t="s">
        <v>35</v>
      </c>
      <c r="N977" s="4" t="s">
        <v>39</v>
      </c>
      <c r="O977" s="4" t="s">
        <v>40</v>
      </c>
    </row>
    <row r="978" spans="2:15" ht="21" customHeight="1" x14ac:dyDescent="0.3">
      <c r="B978" s="11" t="s">
        <v>74</v>
      </c>
      <c r="C978" s="12">
        <v>13</v>
      </c>
      <c r="D978" s="13" t="s">
        <v>62</v>
      </c>
      <c r="E978" s="11" t="s">
        <v>53</v>
      </c>
      <c r="F978" s="11" t="s">
        <v>46</v>
      </c>
      <c r="G978" s="14">
        <v>0</v>
      </c>
      <c r="H978" s="15">
        <v>0</v>
      </c>
      <c r="I978" s="11">
        <v>2</v>
      </c>
      <c r="J978" s="16">
        <v>5.0231481481481481E-3</v>
      </c>
      <c r="K978" s="11"/>
      <c r="L978" s="11"/>
      <c r="M978" s="11" t="s">
        <v>52</v>
      </c>
      <c r="N978" s="11" t="s">
        <v>36</v>
      </c>
      <c r="O978" s="11" t="s">
        <v>69</v>
      </c>
    </row>
    <row r="979" spans="2:15" ht="21" customHeight="1" x14ac:dyDescent="0.3">
      <c r="B979" s="4" t="s">
        <v>14</v>
      </c>
      <c r="C979" s="5">
        <v>11</v>
      </c>
      <c r="D979" s="6" t="s">
        <v>59</v>
      </c>
      <c r="E979" s="4" t="s">
        <v>16</v>
      </c>
      <c r="F979" s="4" t="s">
        <v>46</v>
      </c>
      <c r="G979" s="7">
        <v>2</v>
      </c>
      <c r="H979" s="1">
        <v>38000000</v>
      </c>
      <c r="I979" s="4">
        <v>4</v>
      </c>
      <c r="J979" s="8">
        <v>5.208333333333333E-3</v>
      </c>
      <c r="K979" s="4" t="s">
        <v>50</v>
      </c>
      <c r="L979" s="4" t="s">
        <v>51</v>
      </c>
      <c r="M979" s="4" t="s">
        <v>55</v>
      </c>
      <c r="N979" s="4" t="s">
        <v>39</v>
      </c>
      <c r="O979" s="4" t="s">
        <v>71</v>
      </c>
    </row>
    <row r="980" spans="2:15" ht="21" customHeight="1" x14ac:dyDescent="0.3">
      <c r="B980" s="11" t="s">
        <v>14</v>
      </c>
      <c r="C980" s="12">
        <v>6</v>
      </c>
      <c r="D980" s="13" t="s">
        <v>59</v>
      </c>
      <c r="E980" s="11" t="s">
        <v>34</v>
      </c>
      <c r="F980" s="11" t="s">
        <v>46</v>
      </c>
      <c r="G980" s="14">
        <v>5</v>
      </c>
      <c r="H980" s="15">
        <v>20000000</v>
      </c>
      <c r="I980" s="11">
        <v>3</v>
      </c>
      <c r="J980" s="16">
        <v>5.208333333333333E-3</v>
      </c>
      <c r="K980" s="11" t="s">
        <v>18</v>
      </c>
      <c r="L980" s="11" t="s">
        <v>31</v>
      </c>
      <c r="M980" s="11" t="s">
        <v>26</v>
      </c>
      <c r="N980" s="11" t="s">
        <v>27</v>
      </c>
      <c r="O980" s="11" t="s">
        <v>28</v>
      </c>
    </row>
    <row r="981" spans="2:15" ht="21" customHeight="1" x14ac:dyDescent="0.3">
      <c r="B981" s="4" t="s">
        <v>14</v>
      </c>
      <c r="C981" s="5">
        <v>1</v>
      </c>
      <c r="D981" s="6" t="s">
        <v>15</v>
      </c>
      <c r="E981" s="4" t="s">
        <v>16</v>
      </c>
      <c r="F981" s="4" t="s">
        <v>49</v>
      </c>
      <c r="G981" s="7">
        <v>2</v>
      </c>
      <c r="H981" s="1">
        <v>12000000</v>
      </c>
      <c r="I981" s="4">
        <v>1</v>
      </c>
      <c r="J981" s="8">
        <v>5.208333333333333E-3</v>
      </c>
      <c r="K981" s="4" t="s">
        <v>18</v>
      </c>
      <c r="L981" s="4" t="s">
        <v>19</v>
      </c>
      <c r="M981" s="4" t="s">
        <v>26</v>
      </c>
      <c r="N981" s="4" t="s">
        <v>36</v>
      </c>
      <c r="O981" s="4" t="s">
        <v>69</v>
      </c>
    </row>
    <row r="982" spans="2:15" ht="21" customHeight="1" x14ac:dyDescent="0.3">
      <c r="B982" s="11" t="s">
        <v>14</v>
      </c>
      <c r="C982" s="12">
        <v>10</v>
      </c>
      <c r="D982" s="13" t="s">
        <v>63</v>
      </c>
      <c r="E982" s="11" t="s">
        <v>42</v>
      </c>
      <c r="F982" s="11" t="s">
        <v>17</v>
      </c>
      <c r="G982" s="14">
        <v>2</v>
      </c>
      <c r="H982" s="15">
        <v>38000000</v>
      </c>
      <c r="I982" s="11">
        <v>2</v>
      </c>
      <c r="J982" s="16">
        <v>5.208333333333333E-3</v>
      </c>
      <c r="K982" s="11" t="s">
        <v>78</v>
      </c>
      <c r="L982" s="11" t="s">
        <v>51</v>
      </c>
      <c r="M982" s="11" t="s">
        <v>47</v>
      </c>
      <c r="N982" s="11" t="s">
        <v>27</v>
      </c>
      <c r="O982" s="11" t="s">
        <v>56</v>
      </c>
    </row>
    <row r="983" spans="2:15" ht="21" customHeight="1" x14ac:dyDescent="0.3">
      <c r="B983" s="4" t="s">
        <v>14</v>
      </c>
      <c r="C983" s="5">
        <v>1</v>
      </c>
      <c r="D983" s="6" t="s">
        <v>63</v>
      </c>
      <c r="E983" s="4" t="s">
        <v>77</v>
      </c>
      <c r="F983" s="4" t="s">
        <v>46</v>
      </c>
      <c r="G983" s="7">
        <v>3</v>
      </c>
      <c r="H983" s="1">
        <v>15000000</v>
      </c>
      <c r="I983" s="4">
        <v>1</v>
      </c>
      <c r="J983" s="8">
        <v>5.208333333333333E-3</v>
      </c>
      <c r="K983" s="4" t="s">
        <v>18</v>
      </c>
      <c r="L983" s="4" t="s">
        <v>60</v>
      </c>
      <c r="M983" s="4" t="s">
        <v>47</v>
      </c>
      <c r="N983" s="4" t="s">
        <v>21</v>
      </c>
      <c r="O983" s="4" t="s">
        <v>66</v>
      </c>
    </row>
    <row r="984" spans="2:15" ht="21" customHeight="1" x14ac:dyDescent="0.3">
      <c r="B984" s="11" t="s">
        <v>14</v>
      </c>
      <c r="C984" s="12">
        <v>30</v>
      </c>
      <c r="D984" s="13" t="s">
        <v>29</v>
      </c>
      <c r="E984" s="11" t="s">
        <v>34</v>
      </c>
      <c r="F984" s="11" t="s">
        <v>46</v>
      </c>
      <c r="G984" s="14">
        <v>1</v>
      </c>
      <c r="H984" s="15">
        <v>7000000</v>
      </c>
      <c r="I984" s="11">
        <v>2</v>
      </c>
      <c r="J984" s="16">
        <v>5.208333333333333E-3</v>
      </c>
      <c r="K984" s="11" t="s">
        <v>18</v>
      </c>
      <c r="L984" s="11" t="s">
        <v>31</v>
      </c>
      <c r="M984" s="11" t="s">
        <v>47</v>
      </c>
      <c r="N984" s="11" t="s">
        <v>21</v>
      </c>
      <c r="O984" s="11" t="s">
        <v>67</v>
      </c>
    </row>
    <row r="985" spans="2:15" ht="21" customHeight="1" x14ac:dyDescent="0.3">
      <c r="B985" s="4" t="s">
        <v>14</v>
      </c>
      <c r="C985" s="5">
        <v>27</v>
      </c>
      <c r="D985" s="6" t="s">
        <v>29</v>
      </c>
      <c r="E985" s="4" t="s">
        <v>16</v>
      </c>
      <c r="F985" s="4" t="s">
        <v>24</v>
      </c>
      <c r="G985" s="7">
        <v>1</v>
      </c>
      <c r="H985" s="1">
        <v>7000000</v>
      </c>
      <c r="I985" s="4">
        <v>1</v>
      </c>
      <c r="J985" s="8">
        <v>5.208333333333333E-3</v>
      </c>
      <c r="K985" s="4" t="s">
        <v>18</v>
      </c>
      <c r="L985" s="4" t="s">
        <v>54</v>
      </c>
      <c r="M985" s="4" t="s">
        <v>55</v>
      </c>
      <c r="N985" s="4" t="s">
        <v>39</v>
      </c>
      <c r="O985" s="4" t="s">
        <v>71</v>
      </c>
    </row>
    <row r="986" spans="2:15" ht="21" customHeight="1" x14ac:dyDescent="0.3">
      <c r="B986" s="11" t="s">
        <v>14</v>
      </c>
      <c r="C986" s="12">
        <v>15</v>
      </c>
      <c r="D986" s="13" t="s">
        <v>41</v>
      </c>
      <c r="E986" s="11" t="s">
        <v>34</v>
      </c>
      <c r="F986" s="11" t="s">
        <v>17</v>
      </c>
      <c r="G986" s="14">
        <v>1</v>
      </c>
      <c r="H986" s="15">
        <v>19000000</v>
      </c>
      <c r="I986" s="11">
        <v>2</v>
      </c>
      <c r="J986" s="16">
        <v>5.208333333333333E-3</v>
      </c>
      <c r="K986" s="11" t="s">
        <v>50</v>
      </c>
      <c r="L986" s="11" t="s">
        <v>19</v>
      </c>
      <c r="M986" s="11" t="s">
        <v>32</v>
      </c>
      <c r="N986" s="11" t="s">
        <v>36</v>
      </c>
      <c r="O986" s="11" t="s">
        <v>69</v>
      </c>
    </row>
    <row r="987" spans="2:15" ht="21" customHeight="1" x14ac:dyDescent="0.3">
      <c r="B987" s="4" t="s">
        <v>14</v>
      </c>
      <c r="C987" s="5">
        <v>5</v>
      </c>
      <c r="D987" s="6" t="s">
        <v>41</v>
      </c>
      <c r="E987" s="4" t="s">
        <v>16</v>
      </c>
      <c r="F987" s="4" t="s">
        <v>46</v>
      </c>
      <c r="G987" s="7">
        <v>4</v>
      </c>
      <c r="H987" s="1">
        <v>15000000</v>
      </c>
      <c r="I987" s="4">
        <v>6</v>
      </c>
      <c r="J987" s="8">
        <v>5.208333333333333E-3</v>
      </c>
      <c r="K987" s="4" t="s">
        <v>18</v>
      </c>
      <c r="L987" s="4" t="s">
        <v>54</v>
      </c>
      <c r="M987" s="4" t="s">
        <v>32</v>
      </c>
      <c r="N987" s="4" t="s">
        <v>39</v>
      </c>
      <c r="O987" s="4" t="s">
        <v>40</v>
      </c>
    </row>
    <row r="988" spans="2:15" ht="21" customHeight="1" x14ac:dyDescent="0.3">
      <c r="B988" s="11" t="s">
        <v>14</v>
      </c>
      <c r="C988" s="12">
        <v>6</v>
      </c>
      <c r="D988" s="13" t="s">
        <v>41</v>
      </c>
      <c r="E988" s="11" t="s">
        <v>53</v>
      </c>
      <c r="F988" s="11" t="s">
        <v>24</v>
      </c>
      <c r="G988" s="14">
        <v>5</v>
      </c>
      <c r="H988" s="15">
        <v>20000000</v>
      </c>
      <c r="I988" s="11">
        <v>6</v>
      </c>
      <c r="J988" s="16">
        <v>5.208333333333333E-3</v>
      </c>
      <c r="K988" s="11" t="s">
        <v>18</v>
      </c>
      <c r="L988" s="11" t="s">
        <v>31</v>
      </c>
      <c r="M988" s="11" t="s">
        <v>32</v>
      </c>
      <c r="N988" s="11" t="s">
        <v>21</v>
      </c>
      <c r="O988" s="11" t="s">
        <v>66</v>
      </c>
    </row>
    <row r="989" spans="2:15" ht="21" customHeight="1" x14ac:dyDescent="0.3">
      <c r="B989" s="4" t="s">
        <v>14</v>
      </c>
      <c r="C989" s="5">
        <v>12</v>
      </c>
      <c r="D989" s="6" t="s">
        <v>41</v>
      </c>
      <c r="E989" s="4" t="s">
        <v>77</v>
      </c>
      <c r="F989" s="4" t="s">
        <v>17</v>
      </c>
      <c r="G989" s="7">
        <v>2</v>
      </c>
      <c r="H989" s="1">
        <v>12000000</v>
      </c>
      <c r="I989" s="4">
        <v>2</v>
      </c>
      <c r="J989" s="8">
        <v>5.208333333333333E-3</v>
      </c>
      <c r="K989" s="4" t="s">
        <v>18</v>
      </c>
      <c r="L989" s="4" t="s">
        <v>19</v>
      </c>
      <c r="M989" s="4" t="s">
        <v>44</v>
      </c>
      <c r="N989" s="4" t="s">
        <v>36</v>
      </c>
      <c r="O989" s="4" t="s">
        <v>58</v>
      </c>
    </row>
    <row r="990" spans="2:15" ht="21" customHeight="1" x14ac:dyDescent="0.3">
      <c r="B990" s="11" t="s">
        <v>14</v>
      </c>
      <c r="C990" s="12">
        <v>28</v>
      </c>
      <c r="D990" s="13" t="s">
        <v>41</v>
      </c>
      <c r="E990" s="11" t="s">
        <v>30</v>
      </c>
      <c r="F990" s="11" t="s">
        <v>24</v>
      </c>
      <c r="G990" s="14">
        <v>2</v>
      </c>
      <c r="H990" s="15">
        <v>12000000</v>
      </c>
      <c r="I990" s="11">
        <v>2</v>
      </c>
      <c r="J990" s="16">
        <v>5.208333333333333E-3</v>
      </c>
      <c r="K990" s="11" t="s">
        <v>18</v>
      </c>
      <c r="L990" s="11" t="s">
        <v>19</v>
      </c>
      <c r="M990" s="11" t="s">
        <v>20</v>
      </c>
      <c r="N990" s="11" t="s">
        <v>21</v>
      </c>
      <c r="O990" s="11" t="s">
        <v>22</v>
      </c>
    </row>
    <row r="991" spans="2:15" ht="21" customHeight="1" x14ac:dyDescent="0.3">
      <c r="B991" s="4" t="s">
        <v>14</v>
      </c>
      <c r="C991" s="5">
        <v>8</v>
      </c>
      <c r="D991" s="6" t="s">
        <v>41</v>
      </c>
      <c r="E991" s="4" t="s">
        <v>16</v>
      </c>
      <c r="F991" s="4" t="s">
        <v>24</v>
      </c>
      <c r="G991" s="7">
        <v>2</v>
      </c>
      <c r="H991" s="1">
        <v>12000000</v>
      </c>
      <c r="I991" s="4">
        <v>3</v>
      </c>
      <c r="J991" s="8">
        <v>5.208333333333333E-3</v>
      </c>
      <c r="K991" s="4" t="s">
        <v>18</v>
      </c>
      <c r="L991" s="4" t="s">
        <v>31</v>
      </c>
      <c r="M991" s="4" t="s">
        <v>35</v>
      </c>
      <c r="N991" s="4" t="s">
        <v>27</v>
      </c>
      <c r="O991" s="4" t="s">
        <v>79</v>
      </c>
    </row>
    <row r="992" spans="2:15" ht="21" customHeight="1" x14ac:dyDescent="0.3">
      <c r="B992" s="11" t="s">
        <v>14</v>
      </c>
      <c r="C992" s="12">
        <v>7</v>
      </c>
      <c r="D992" s="13" t="s">
        <v>41</v>
      </c>
      <c r="E992" s="11" t="s">
        <v>42</v>
      </c>
      <c r="F992" s="11" t="s">
        <v>46</v>
      </c>
      <c r="G992" s="14">
        <v>2</v>
      </c>
      <c r="H992" s="15">
        <v>12000000</v>
      </c>
      <c r="I992" s="11">
        <v>3</v>
      </c>
      <c r="J992" s="16">
        <v>5.208333333333333E-3</v>
      </c>
      <c r="K992" s="11" t="s">
        <v>18</v>
      </c>
      <c r="L992" s="11" t="s">
        <v>60</v>
      </c>
      <c r="M992" s="11" t="s">
        <v>44</v>
      </c>
      <c r="N992" s="11" t="s">
        <v>21</v>
      </c>
      <c r="O992" s="11" t="s">
        <v>67</v>
      </c>
    </row>
    <row r="993" spans="2:15" ht="21" customHeight="1" x14ac:dyDescent="0.3">
      <c r="B993" s="4" t="s">
        <v>14</v>
      </c>
      <c r="C993" s="5">
        <v>9</v>
      </c>
      <c r="D993" s="6" t="s">
        <v>41</v>
      </c>
      <c r="E993" s="4" t="s">
        <v>53</v>
      </c>
      <c r="F993" s="4" t="s">
        <v>46</v>
      </c>
      <c r="G993" s="7">
        <v>3</v>
      </c>
      <c r="H993" s="1">
        <v>15000000</v>
      </c>
      <c r="I993" s="4">
        <v>1</v>
      </c>
      <c r="J993" s="8">
        <v>5.208333333333333E-3</v>
      </c>
      <c r="K993" s="4" t="s">
        <v>18</v>
      </c>
      <c r="L993" s="4" t="s">
        <v>31</v>
      </c>
      <c r="M993" s="4" t="s">
        <v>52</v>
      </c>
      <c r="N993" s="4" t="s">
        <v>39</v>
      </c>
      <c r="O993" s="4" t="s">
        <v>40</v>
      </c>
    </row>
    <row r="994" spans="2:15" ht="21" customHeight="1" x14ac:dyDescent="0.3">
      <c r="B994" s="11" t="s">
        <v>14</v>
      </c>
      <c r="C994" s="12">
        <v>16</v>
      </c>
      <c r="D994" s="13" t="s">
        <v>48</v>
      </c>
      <c r="E994" s="11" t="s">
        <v>30</v>
      </c>
      <c r="F994" s="11" t="s">
        <v>24</v>
      </c>
      <c r="G994" s="14">
        <v>1</v>
      </c>
      <c r="H994" s="15">
        <v>19000000</v>
      </c>
      <c r="I994" s="11">
        <v>1</v>
      </c>
      <c r="J994" s="16">
        <v>5.208333333333333E-3</v>
      </c>
      <c r="K994" s="11" t="s">
        <v>50</v>
      </c>
      <c r="L994" s="11" t="s">
        <v>19</v>
      </c>
      <c r="M994" s="11" t="s">
        <v>35</v>
      </c>
      <c r="N994" s="11" t="s">
        <v>27</v>
      </c>
      <c r="O994" s="11" t="s">
        <v>33</v>
      </c>
    </row>
    <row r="995" spans="2:15" ht="21" customHeight="1" x14ac:dyDescent="0.3">
      <c r="B995" s="4" t="s">
        <v>14</v>
      </c>
      <c r="C995" s="5">
        <v>22</v>
      </c>
      <c r="D995" s="6" t="s">
        <v>48</v>
      </c>
      <c r="E995" s="4" t="s">
        <v>30</v>
      </c>
      <c r="F995" s="4" t="s">
        <v>24</v>
      </c>
      <c r="G995" s="7">
        <v>3</v>
      </c>
      <c r="H995" s="1">
        <v>11000000</v>
      </c>
      <c r="I995" s="4">
        <v>3</v>
      </c>
      <c r="J995" s="8">
        <v>5.208333333333333E-3</v>
      </c>
      <c r="K995" s="4" t="s">
        <v>18</v>
      </c>
      <c r="L995" s="4" t="s">
        <v>19</v>
      </c>
      <c r="M995" s="4" t="s">
        <v>32</v>
      </c>
      <c r="N995" s="4" t="s">
        <v>36</v>
      </c>
      <c r="O995" s="4" t="s">
        <v>69</v>
      </c>
    </row>
    <row r="996" spans="2:15" ht="21" customHeight="1" x14ac:dyDescent="0.3">
      <c r="B996" s="11" t="s">
        <v>14</v>
      </c>
      <c r="C996" s="12">
        <v>5</v>
      </c>
      <c r="D996" s="13" t="s">
        <v>48</v>
      </c>
      <c r="E996" s="11" t="s">
        <v>16</v>
      </c>
      <c r="F996" s="11" t="s">
        <v>46</v>
      </c>
      <c r="G996" s="14">
        <v>3</v>
      </c>
      <c r="H996" s="15">
        <v>15000000</v>
      </c>
      <c r="I996" s="11">
        <v>2</v>
      </c>
      <c r="J996" s="16">
        <v>5.208333333333333E-3</v>
      </c>
      <c r="K996" s="11" t="s">
        <v>18</v>
      </c>
      <c r="L996" s="11" t="s">
        <v>68</v>
      </c>
      <c r="M996" s="11" t="s">
        <v>44</v>
      </c>
      <c r="N996" s="11" t="s">
        <v>39</v>
      </c>
      <c r="O996" s="11" t="s">
        <v>71</v>
      </c>
    </row>
    <row r="997" spans="2:15" ht="21" customHeight="1" x14ac:dyDescent="0.3">
      <c r="B997" s="4" t="s">
        <v>14</v>
      </c>
      <c r="C997" s="5">
        <v>29</v>
      </c>
      <c r="D997" s="6" t="s">
        <v>48</v>
      </c>
      <c r="E997" s="4" t="s">
        <v>42</v>
      </c>
      <c r="F997" s="4" t="s">
        <v>46</v>
      </c>
      <c r="G997" s="7">
        <v>3</v>
      </c>
      <c r="H997" s="1">
        <v>15000000</v>
      </c>
      <c r="I997" s="4">
        <v>4</v>
      </c>
      <c r="J997" s="8">
        <v>5.208333333333333E-3</v>
      </c>
      <c r="K997" s="4" t="s">
        <v>18</v>
      </c>
      <c r="L997" s="4" t="s">
        <v>19</v>
      </c>
      <c r="M997" s="4" t="s">
        <v>26</v>
      </c>
      <c r="N997" s="4" t="s">
        <v>21</v>
      </c>
      <c r="O997" s="4" t="s">
        <v>67</v>
      </c>
    </row>
    <row r="998" spans="2:15" ht="21" customHeight="1" x14ac:dyDescent="0.3">
      <c r="B998" s="11" t="s">
        <v>14</v>
      </c>
      <c r="C998" s="12">
        <v>12</v>
      </c>
      <c r="D998" s="13" t="s">
        <v>48</v>
      </c>
      <c r="E998" s="11" t="s">
        <v>16</v>
      </c>
      <c r="F998" s="11" t="s">
        <v>49</v>
      </c>
      <c r="G998" s="14">
        <v>4</v>
      </c>
      <c r="H998" s="15">
        <v>15000000</v>
      </c>
      <c r="I998" s="11">
        <v>2</v>
      </c>
      <c r="J998" s="16">
        <v>5.208333333333333E-3</v>
      </c>
      <c r="K998" s="11" t="s">
        <v>18</v>
      </c>
      <c r="L998" s="11" t="s">
        <v>19</v>
      </c>
      <c r="M998" s="11" t="s">
        <v>52</v>
      </c>
      <c r="N998" s="11" t="s">
        <v>21</v>
      </c>
      <c r="O998" s="11" t="s">
        <v>45</v>
      </c>
    </row>
    <row r="999" spans="2:15" ht="21" customHeight="1" x14ac:dyDescent="0.3">
      <c r="B999" s="4" t="s">
        <v>14</v>
      </c>
      <c r="C999" s="5">
        <v>11</v>
      </c>
      <c r="D999" s="6" t="s">
        <v>59</v>
      </c>
      <c r="E999" s="4" t="s">
        <v>16</v>
      </c>
      <c r="F999" s="4" t="s">
        <v>46</v>
      </c>
      <c r="G999" s="7">
        <v>2</v>
      </c>
      <c r="H999" s="1">
        <v>38000000</v>
      </c>
      <c r="I999" s="4">
        <v>4</v>
      </c>
      <c r="J999" s="8">
        <v>5.208333333333333E-3</v>
      </c>
      <c r="K999" s="4" t="s">
        <v>50</v>
      </c>
      <c r="L999" s="4" t="s">
        <v>51</v>
      </c>
      <c r="M999" s="4" t="s">
        <v>55</v>
      </c>
      <c r="N999" s="4" t="s">
        <v>39</v>
      </c>
      <c r="O999" s="4" t="s">
        <v>71</v>
      </c>
    </row>
    <row r="1000" spans="2:15" ht="21" customHeight="1" x14ac:dyDescent="0.3">
      <c r="B1000" s="11" t="s">
        <v>14</v>
      </c>
      <c r="C1000" s="12">
        <v>6</v>
      </c>
      <c r="D1000" s="13" t="s">
        <v>59</v>
      </c>
      <c r="E1000" s="11" t="s">
        <v>34</v>
      </c>
      <c r="F1000" s="11" t="s">
        <v>46</v>
      </c>
      <c r="G1000" s="14">
        <v>5</v>
      </c>
      <c r="H1000" s="15">
        <v>20000000</v>
      </c>
      <c r="I1000" s="11">
        <v>3</v>
      </c>
      <c r="J1000" s="16">
        <v>5.208333333333333E-3</v>
      </c>
      <c r="K1000" s="11" t="s">
        <v>18</v>
      </c>
      <c r="L1000" s="11" t="s">
        <v>31</v>
      </c>
      <c r="M1000" s="11" t="s">
        <v>26</v>
      </c>
      <c r="N1000" s="11" t="s">
        <v>27</v>
      </c>
      <c r="O1000" s="11" t="s">
        <v>28</v>
      </c>
    </row>
    <row r="1001" spans="2:15" ht="21" customHeight="1" x14ac:dyDescent="0.3">
      <c r="B1001" s="4" t="s">
        <v>14</v>
      </c>
      <c r="C1001" s="5">
        <v>1</v>
      </c>
      <c r="D1001" s="6" t="s">
        <v>15</v>
      </c>
      <c r="E1001" s="4" t="s">
        <v>16</v>
      </c>
      <c r="F1001" s="4" t="s">
        <v>49</v>
      </c>
      <c r="G1001" s="7">
        <v>2</v>
      </c>
      <c r="H1001" s="1">
        <v>12000000</v>
      </c>
      <c r="I1001" s="4">
        <v>1</v>
      </c>
      <c r="J1001" s="8">
        <v>5.208333333333333E-3</v>
      </c>
      <c r="K1001" s="4" t="s">
        <v>18</v>
      </c>
      <c r="L1001" s="4" t="s">
        <v>19</v>
      </c>
      <c r="M1001" s="4" t="s">
        <v>26</v>
      </c>
      <c r="N1001" s="4" t="s">
        <v>36</v>
      </c>
      <c r="O1001" s="4" t="s">
        <v>69</v>
      </c>
    </row>
    <row r="1002" spans="2:15" ht="21" customHeight="1" x14ac:dyDescent="0.3">
      <c r="B1002" s="11" t="s">
        <v>14</v>
      </c>
      <c r="C1002" s="12">
        <v>10</v>
      </c>
      <c r="D1002" s="13" t="s">
        <v>63</v>
      </c>
      <c r="E1002" s="11" t="s">
        <v>42</v>
      </c>
      <c r="F1002" s="11" t="s">
        <v>17</v>
      </c>
      <c r="G1002" s="14">
        <v>2</v>
      </c>
      <c r="H1002" s="15">
        <v>38000000</v>
      </c>
      <c r="I1002" s="11">
        <v>2</v>
      </c>
      <c r="J1002" s="16">
        <v>5.208333333333333E-3</v>
      </c>
      <c r="K1002" s="11" t="s">
        <v>78</v>
      </c>
      <c r="L1002" s="11" t="s">
        <v>51</v>
      </c>
      <c r="M1002" s="11" t="s">
        <v>47</v>
      </c>
      <c r="N1002" s="11" t="s">
        <v>27</v>
      </c>
      <c r="O1002" s="11" t="s">
        <v>56</v>
      </c>
    </row>
    <row r="1003" spans="2:15" ht="21" customHeight="1" x14ac:dyDescent="0.3">
      <c r="B1003" s="4" t="s">
        <v>14</v>
      </c>
      <c r="C1003" s="5">
        <v>1</v>
      </c>
      <c r="D1003" s="6" t="s">
        <v>63</v>
      </c>
      <c r="E1003" s="4" t="s">
        <v>77</v>
      </c>
      <c r="F1003" s="4" t="s">
        <v>46</v>
      </c>
      <c r="G1003" s="7">
        <v>3</v>
      </c>
      <c r="H1003" s="1">
        <v>15000000</v>
      </c>
      <c r="I1003" s="4">
        <v>1</v>
      </c>
      <c r="J1003" s="8">
        <v>5.208333333333333E-3</v>
      </c>
      <c r="K1003" s="4" t="s">
        <v>18</v>
      </c>
      <c r="L1003" s="4" t="s">
        <v>60</v>
      </c>
      <c r="M1003" s="4" t="s">
        <v>47</v>
      </c>
      <c r="N1003" s="4" t="s">
        <v>21</v>
      </c>
      <c r="O1003" s="4" t="s">
        <v>66</v>
      </c>
    </row>
    <row r="1004" spans="2:15" ht="21" customHeight="1" x14ac:dyDescent="0.3">
      <c r="B1004" s="11" t="s">
        <v>74</v>
      </c>
      <c r="C1004" s="12">
        <v>7</v>
      </c>
      <c r="D1004" s="13" t="s">
        <v>76</v>
      </c>
      <c r="E1004" s="11" t="s">
        <v>30</v>
      </c>
      <c r="F1004" s="11" t="s">
        <v>17</v>
      </c>
      <c r="G1004" s="14">
        <v>0</v>
      </c>
      <c r="H1004" s="15">
        <v>0</v>
      </c>
      <c r="I1004" s="11">
        <v>3</v>
      </c>
      <c r="J1004" s="16">
        <v>5.208333333333333E-3</v>
      </c>
      <c r="K1004" s="11"/>
      <c r="L1004" s="11"/>
      <c r="M1004" s="11" t="s">
        <v>55</v>
      </c>
      <c r="N1004" s="11" t="s">
        <v>36</v>
      </c>
      <c r="O1004" s="11" t="s">
        <v>69</v>
      </c>
    </row>
    <row r="1005" spans="2:15" ht="21" customHeight="1" x14ac:dyDescent="0.3">
      <c r="B1005" s="4" t="s">
        <v>74</v>
      </c>
      <c r="C1005" s="5">
        <v>12</v>
      </c>
      <c r="D1005" s="6" t="s">
        <v>23</v>
      </c>
      <c r="E1005" s="4" t="s">
        <v>53</v>
      </c>
      <c r="F1005" s="4" t="s">
        <v>24</v>
      </c>
      <c r="G1005" s="7">
        <v>0</v>
      </c>
      <c r="H1005" s="1">
        <v>0</v>
      </c>
      <c r="I1005" s="4">
        <v>2</v>
      </c>
      <c r="J1005" s="8">
        <v>5.208333333333333E-3</v>
      </c>
      <c r="K1005" s="4"/>
      <c r="L1005" s="4"/>
      <c r="M1005" s="4" t="s">
        <v>32</v>
      </c>
      <c r="N1005" s="4" t="s">
        <v>27</v>
      </c>
      <c r="O1005" s="4" t="s">
        <v>33</v>
      </c>
    </row>
    <row r="1006" spans="2:15" ht="21" customHeight="1" x14ac:dyDescent="0.3">
      <c r="B1006" s="11" t="s">
        <v>74</v>
      </c>
      <c r="C1006" s="12">
        <v>1</v>
      </c>
      <c r="D1006" s="13" t="s">
        <v>29</v>
      </c>
      <c r="E1006" s="11" t="s">
        <v>34</v>
      </c>
      <c r="F1006" s="11" t="s">
        <v>46</v>
      </c>
      <c r="G1006" s="14">
        <v>0</v>
      </c>
      <c r="H1006" s="15">
        <v>0</v>
      </c>
      <c r="I1006" s="11">
        <v>4</v>
      </c>
      <c r="J1006" s="16">
        <v>5.208333333333333E-3</v>
      </c>
      <c r="K1006" s="11"/>
      <c r="L1006" s="11"/>
      <c r="M1006" s="11" t="s">
        <v>32</v>
      </c>
      <c r="N1006" s="11" t="s">
        <v>21</v>
      </c>
      <c r="O1006" s="11" t="s">
        <v>67</v>
      </c>
    </row>
    <row r="1007" spans="2:15" ht="21" customHeight="1" x14ac:dyDescent="0.3">
      <c r="B1007" s="4" t="s">
        <v>74</v>
      </c>
      <c r="C1007" s="5">
        <v>29</v>
      </c>
      <c r="D1007" s="6" t="s">
        <v>29</v>
      </c>
      <c r="E1007" s="4" t="s">
        <v>42</v>
      </c>
      <c r="F1007" s="4" t="s">
        <v>46</v>
      </c>
      <c r="G1007" s="7">
        <v>0</v>
      </c>
      <c r="H1007" s="1">
        <v>0</v>
      </c>
      <c r="I1007" s="4">
        <v>2</v>
      </c>
      <c r="J1007" s="8">
        <v>5.208333333333333E-3</v>
      </c>
      <c r="K1007" s="4"/>
      <c r="L1007" s="4"/>
      <c r="M1007" s="4" t="s">
        <v>44</v>
      </c>
      <c r="N1007" s="4" t="s">
        <v>27</v>
      </c>
      <c r="O1007" s="4" t="s">
        <v>56</v>
      </c>
    </row>
    <row r="1008" spans="2:15" ht="21" customHeight="1" x14ac:dyDescent="0.3">
      <c r="B1008" s="11" t="s">
        <v>74</v>
      </c>
      <c r="C1008" s="12">
        <v>26</v>
      </c>
      <c r="D1008" s="13" t="s">
        <v>41</v>
      </c>
      <c r="E1008" s="11" t="s">
        <v>42</v>
      </c>
      <c r="F1008" s="11" t="s">
        <v>17</v>
      </c>
      <c r="G1008" s="14">
        <v>0</v>
      </c>
      <c r="H1008" s="15">
        <v>0</v>
      </c>
      <c r="I1008" s="11">
        <v>3</v>
      </c>
      <c r="J1008" s="16">
        <v>5.208333333333333E-3</v>
      </c>
      <c r="K1008" s="11"/>
      <c r="L1008" s="11"/>
      <c r="M1008" s="11" t="s">
        <v>32</v>
      </c>
      <c r="N1008" s="11" t="s">
        <v>21</v>
      </c>
      <c r="O1008" s="11" t="s">
        <v>45</v>
      </c>
    </row>
    <row r="1009" spans="2:15" ht="21" customHeight="1" x14ac:dyDescent="0.3">
      <c r="B1009" s="4" t="s">
        <v>74</v>
      </c>
      <c r="C1009" s="5">
        <v>30</v>
      </c>
      <c r="D1009" s="6" t="s">
        <v>73</v>
      </c>
      <c r="E1009" s="4" t="s">
        <v>53</v>
      </c>
      <c r="F1009" s="4" t="s">
        <v>17</v>
      </c>
      <c r="G1009" s="7">
        <v>0</v>
      </c>
      <c r="H1009" s="1">
        <v>0</v>
      </c>
      <c r="I1009" s="4">
        <v>7</v>
      </c>
      <c r="J1009" s="8">
        <v>5.208333333333333E-3</v>
      </c>
      <c r="K1009" s="4"/>
      <c r="L1009" s="4"/>
      <c r="M1009" s="4" t="s">
        <v>47</v>
      </c>
      <c r="N1009" s="4" t="s">
        <v>27</v>
      </c>
      <c r="O1009" s="4" t="s">
        <v>56</v>
      </c>
    </row>
    <row r="1010" spans="2:15" ht="21" customHeight="1" x14ac:dyDescent="0.3">
      <c r="B1010" s="11" t="s">
        <v>74</v>
      </c>
      <c r="C1010" s="12">
        <v>7</v>
      </c>
      <c r="D1010" s="13" t="s">
        <v>76</v>
      </c>
      <c r="E1010" s="11" t="s">
        <v>30</v>
      </c>
      <c r="F1010" s="11" t="s">
        <v>17</v>
      </c>
      <c r="G1010" s="14">
        <v>0</v>
      </c>
      <c r="H1010" s="15">
        <v>0</v>
      </c>
      <c r="I1010" s="11">
        <v>3</v>
      </c>
      <c r="J1010" s="16">
        <v>5.208333333333333E-3</v>
      </c>
      <c r="K1010" s="11"/>
      <c r="L1010" s="11"/>
      <c r="M1010" s="11" t="s">
        <v>55</v>
      </c>
      <c r="N1010" s="11" t="s">
        <v>36</v>
      </c>
      <c r="O1010" s="11" t="s">
        <v>69</v>
      </c>
    </row>
    <row r="1011" spans="2:15" ht="21" customHeight="1" x14ac:dyDescent="0.3">
      <c r="B1011" s="4" t="s">
        <v>14</v>
      </c>
      <c r="C1011" s="5">
        <v>16</v>
      </c>
      <c r="D1011" s="6" t="s">
        <v>61</v>
      </c>
      <c r="E1011" s="4" t="s">
        <v>42</v>
      </c>
      <c r="F1011" s="4" t="s">
        <v>24</v>
      </c>
      <c r="G1011" s="7">
        <v>3</v>
      </c>
      <c r="H1011" s="1">
        <v>11000000</v>
      </c>
      <c r="I1011" s="4">
        <v>3</v>
      </c>
      <c r="J1011" s="8">
        <v>5.5555555555555558E-3</v>
      </c>
      <c r="K1011" s="4" t="s">
        <v>18</v>
      </c>
      <c r="L1011" s="4" t="s">
        <v>25</v>
      </c>
      <c r="M1011" s="4" t="s">
        <v>32</v>
      </c>
      <c r="N1011" s="4" t="s">
        <v>21</v>
      </c>
      <c r="O1011" s="4" t="s">
        <v>45</v>
      </c>
    </row>
    <row r="1012" spans="2:15" ht="21" customHeight="1" x14ac:dyDescent="0.3">
      <c r="B1012" s="11" t="s">
        <v>14</v>
      </c>
      <c r="C1012" s="12">
        <v>13</v>
      </c>
      <c r="D1012" s="13" t="s">
        <v>29</v>
      </c>
      <c r="E1012" s="11" t="s">
        <v>77</v>
      </c>
      <c r="F1012" s="11" t="s">
        <v>24</v>
      </c>
      <c r="G1012" s="14">
        <v>2</v>
      </c>
      <c r="H1012" s="15">
        <v>10000000</v>
      </c>
      <c r="I1012" s="11">
        <v>2</v>
      </c>
      <c r="J1012" s="16">
        <v>5.5555555555555558E-3</v>
      </c>
      <c r="K1012" s="11" t="s">
        <v>18</v>
      </c>
      <c r="L1012" s="11" t="s">
        <v>19</v>
      </c>
      <c r="M1012" s="11" t="s">
        <v>35</v>
      </c>
      <c r="N1012" s="11" t="s">
        <v>21</v>
      </c>
      <c r="O1012" s="11" t="s">
        <v>45</v>
      </c>
    </row>
    <row r="1013" spans="2:15" ht="21" customHeight="1" x14ac:dyDescent="0.3">
      <c r="B1013" s="4" t="s">
        <v>14</v>
      </c>
      <c r="C1013" s="5">
        <v>16</v>
      </c>
      <c r="D1013" s="6" t="s">
        <v>29</v>
      </c>
      <c r="E1013" s="4" t="s">
        <v>16</v>
      </c>
      <c r="F1013" s="4" t="s">
        <v>46</v>
      </c>
      <c r="G1013" s="7">
        <v>2</v>
      </c>
      <c r="H1013" s="1">
        <v>12000000</v>
      </c>
      <c r="I1013" s="4">
        <v>2</v>
      </c>
      <c r="J1013" s="8">
        <v>5.5555555555555558E-3</v>
      </c>
      <c r="K1013" s="4" t="s">
        <v>18</v>
      </c>
      <c r="L1013" s="4" t="s">
        <v>43</v>
      </c>
      <c r="M1013" s="4" t="s">
        <v>55</v>
      </c>
      <c r="N1013" s="4" t="s">
        <v>27</v>
      </c>
      <c r="O1013" s="4" t="s">
        <v>28</v>
      </c>
    </row>
    <row r="1014" spans="2:15" ht="21" customHeight="1" x14ac:dyDescent="0.3">
      <c r="B1014" s="11" t="s">
        <v>14</v>
      </c>
      <c r="C1014" s="12">
        <v>26</v>
      </c>
      <c r="D1014" s="13" t="s">
        <v>41</v>
      </c>
      <c r="E1014" s="11" t="s">
        <v>34</v>
      </c>
      <c r="F1014" s="11" t="s">
        <v>46</v>
      </c>
      <c r="G1014" s="14">
        <v>2</v>
      </c>
      <c r="H1014" s="15">
        <v>38000000</v>
      </c>
      <c r="I1014" s="11">
        <v>5</v>
      </c>
      <c r="J1014" s="16">
        <v>5.5555555555555558E-3</v>
      </c>
      <c r="K1014" s="11" t="s">
        <v>50</v>
      </c>
      <c r="L1014" s="11" t="s">
        <v>31</v>
      </c>
      <c r="M1014" s="11" t="s">
        <v>52</v>
      </c>
      <c r="N1014" s="11" t="s">
        <v>27</v>
      </c>
      <c r="O1014" s="11" t="s">
        <v>33</v>
      </c>
    </row>
    <row r="1015" spans="2:15" ht="21" customHeight="1" x14ac:dyDescent="0.3">
      <c r="B1015" s="4" t="s">
        <v>14</v>
      </c>
      <c r="C1015" s="5">
        <v>9</v>
      </c>
      <c r="D1015" s="6" t="s">
        <v>41</v>
      </c>
      <c r="E1015" s="4" t="s">
        <v>30</v>
      </c>
      <c r="F1015" s="4" t="s">
        <v>46</v>
      </c>
      <c r="G1015" s="7">
        <v>4</v>
      </c>
      <c r="H1015" s="1">
        <v>20000000</v>
      </c>
      <c r="I1015" s="4">
        <v>1</v>
      </c>
      <c r="J1015" s="8">
        <v>5.5555555555555558E-3</v>
      </c>
      <c r="K1015" s="4" t="s">
        <v>65</v>
      </c>
      <c r="L1015" s="4" t="s">
        <v>31</v>
      </c>
      <c r="M1015" s="4" t="s">
        <v>47</v>
      </c>
      <c r="N1015" s="4" t="s">
        <v>27</v>
      </c>
      <c r="O1015" s="4" t="s">
        <v>75</v>
      </c>
    </row>
    <row r="1016" spans="2:15" ht="21" customHeight="1" x14ac:dyDescent="0.3">
      <c r="B1016" s="11" t="s">
        <v>14</v>
      </c>
      <c r="C1016" s="12">
        <v>28</v>
      </c>
      <c r="D1016" s="13" t="s">
        <v>41</v>
      </c>
      <c r="E1016" s="11" t="s">
        <v>30</v>
      </c>
      <c r="F1016" s="11" t="s">
        <v>46</v>
      </c>
      <c r="G1016" s="14">
        <v>1</v>
      </c>
      <c r="H1016" s="15">
        <v>7000000</v>
      </c>
      <c r="I1016" s="11">
        <v>2</v>
      </c>
      <c r="J1016" s="16">
        <v>5.5555555555555558E-3</v>
      </c>
      <c r="K1016" s="11" t="s">
        <v>18</v>
      </c>
      <c r="L1016" s="11" t="s">
        <v>31</v>
      </c>
      <c r="M1016" s="11" t="s">
        <v>52</v>
      </c>
      <c r="N1016" s="11" t="s">
        <v>27</v>
      </c>
      <c r="O1016" s="11" t="s">
        <v>56</v>
      </c>
    </row>
    <row r="1017" spans="2:15" ht="21" customHeight="1" x14ac:dyDescent="0.3">
      <c r="B1017" s="4" t="s">
        <v>14</v>
      </c>
      <c r="C1017" s="5">
        <v>30</v>
      </c>
      <c r="D1017" s="6" t="s">
        <v>41</v>
      </c>
      <c r="E1017" s="4" t="s">
        <v>34</v>
      </c>
      <c r="F1017" s="4" t="s">
        <v>17</v>
      </c>
      <c r="G1017" s="7">
        <v>3</v>
      </c>
      <c r="H1017" s="1">
        <v>15000000</v>
      </c>
      <c r="I1017" s="4">
        <v>4</v>
      </c>
      <c r="J1017" s="8">
        <v>5.5555555555555558E-3</v>
      </c>
      <c r="K1017" s="4" t="s">
        <v>18</v>
      </c>
      <c r="L1017" s="4" t="s">
        <v>25</v>
      </c>
      <c r="M1017" s="4" t="s">
        <v>35</v>
      </c>
      <c r="N1017" s="4" t="s">
        <v>21</v>
      </c>
      <c r="O1017" s="4" t="s">
        <v>67</v>
      </c>
    </row>
    <row r="1018" spans="2:15" ht="21" customHeight="1" x14ac:dyDescent="0.3">
      <c r="B1018" s="11" t="s">
        <v>14</v>
      </c>
      <c r="C1018" s="12">
        <v>5</v>
      </c>
      <c r="D1018" s="13" t="s">
        <v>48</v>
      </c>
      <c r="E1018" s="11" t="s">
        <v>30</v>
      </c>
      <c r="F1018" s="11" t="s">
        <v>17</v>
      </c>
      <c r="G1018" s="14">
        <v>5</v>
      </c>
      <c r="H1018" s="15">
        <v>25000000</v>
      </c>
      <c r="I1018" s="11">
        <v>2</v>
      </c>
      <c r="J1018" s="16">
        <v>5.5555555555555558E-3</v>
      </c>
      <c r="K1018" s="11" t="s">
        <v>18</v>
      </c>
      <c r="L1018" s="11" t="s">
        <v>19</v>
      </c>
      <c r="M1018" s="11" t="s">
        <v>26</v>
      </c>
      <c r="N1018" s="11" t="s">
        <v>39</v>
      </c>
      <c r="O1018" s="11" t="s">
        <v>40</v>
      </c>
    </row>
    <row r="1019" spans="2:15" ht="21" customHeight="1" x14ac:dyDescent="0.3">
      <c r="B1019" s="4" t="s">
        <v>14</v>
      </c>
      <c r="C1019" s="5">
        <v>16</v>
      </c>
      <c r="D1019" s="6" t="s">
        <v>61</v>
      </c>
      <c r="E1019" s="4" t="s">
        <v>42</v>
      </c>
      <c r="F1019" s="4" t="s">
        <v>24</v>
      </c>
      <c r="G1019" s="7">
        <v>3</v>
      </c>
      <c r="H1019" s="1">
        <v>11000000</v>
      </c>
      <c r="I1019" s="4">
        <v>3</v>
      </c>
      <c r="J1019" s="8">
        <v>5.5555555555555558E-3</v>
      </c>
      <c r="K1019" s="4" t="s">
        <v>18</v>
      </c>
      <c r="L1019" s="4" t="s">
        <v>25</v>
      </c>
      <c r="M1019" s="4" t="s">
        <v>32</v>
      </c>
      <c r="N1019" s="4" t="s">
        <v>21</v>
      </c>
      <c r="O1019" s="4" t="s">
        <v>45</v>
      </c>
    </row>
    <row r="1020" spans="2:15" ht="21" customHeight="1" x14ac:dyDescent="0.3">
      <c r="B1020" s="11" t="s">
        <v>74</v>
      </c>
      <c r="C1020" s="12">
        <v>12</v>
      </c>
      <c r="D1020" s="13" t="s">
        <v>29</v>
      </c>
      <c r="E1020" s="11" t="s">
        <v>34</v>
      </c>
      <c r="F1020" s="11" t="s">
        <v>46</v>
      </c>
      <c r="G1020" s="14">
        <v>0</v>
      </c>
      <c r="H1020" s="15">
        <v>0</v>
      </c>
      <c r="I1020" s="11">
        <v>3</v>
      </c>
      <c r="J1020" s="16">
        <v>5.5555555555555558E-3</v>
      </c>
      <c r="K1020" s="11"/>
      <c r="L1020" s="11"/>
      <c r="M1020" s="11" t="s">
        <v>32</v>
      </c>
      <c r="N1020" s="11" t="s">
        <v>39</v>
      </c>
      <c r="O1020" s="11" t="s">
        <v>71</v>
      </c>
    </row>
    <row r="1021" spans="2:15" ht="21" customHeight="1" x14ac:dyDescent="0.3">
      <c r="B1021" s="4" t="s">
        <v>74</v>
      </c>
      <c r="C1021" s="5">
        <v>1</v>
      </c>
      <c r="D1021" s="6" t="s">
        <v>41</v>
      </c>
      <c r="E1021" s="4" t="s">
        <v>53</v>
      </c>
      <c r="F1021" s="4" t="s">
        <v>46</v>
      </c>
      <c r="G1021" s="7">
        <v>0</v>
      </c>
      <c r="H1021" s="1">
        <v>0</v>
      </c>
      <c r="I1021" s="4">
        <v>1</v>
      </c>
      <c r="J1021" s="8">
        <v>5.5555555555555558E-3</v>
      </c>
      <c r="K1021" s="4"/>
      <c r="L1021" s="4"/>
      <c r="M1021" s="4" t="s">
        <v>32</v>
      </c>
      <c r="N1021" s="4" t="s">
        <v>39</v>
      </c>
      <c r="O1021" s="4" t="s">
        <v>71</v>
      </c>
    </row>
    <row r="1022" spans="2:15" ht="21" customHeight="1" x14ac:dyDescent="0.3">
      <c r="B1022" s="11" t="s">
        <v>74</v>
      </c>
      <c r="C1022" s="12">
        <v>5</v>
      </c>
      <c r="D1022" s="13" t="s">
        <v>41</v>
      </c>
      <c r="E1022" s="11" t="s">
        <v>53</v>
      </c>
      <c r="F1022" s="11" t="s">
        <v>49</v>
      </c>
      <c r="G1022" s="14">
        <v>0</v>
      </c>
      <c r="H1022" s="15">
        <v>0</v>
      </c>
      <c r="I1022" s="11">
        <v>4</v>
      </c>
      <c r="J1022" s="16">
        <v>5.5555555555555558E-3</v>
      </c>
      <c r="K1022" s="11"/>
      <c r="L1022" s="11"/>
      <c r="M1022" s="11" t="s">
        <v>47</v>
      </c>
      <c r="N1022" s="11" t="s">
        <v>36</v>
      </c>
      <c r="O1022" s="11" t="s">
        <v>69</v>
      </c>
    </row>
    <row r="1023" spans="2:15" ht="21" customHeight="1" x14ac:dyDescent="0.3">
      <c r="B1023" s="4" t="s">
        <v>74</v>
      </c>
      <c r="C1023" s="5">
        <v>27</v>
      </c>
      <c r="D1023" s="6" t="s">
        <v>48</v>
      </c>
      <c r="E1023" s="4" t="s">
        <v>16</v>
      </c>
      <c r="F1023" s="4" t="s">
        <v>17</v>
      </c>
      <c r="G1023" s="7">
        <v>0</v>
      </c>
      <c r="H1023" s="1">
        <v>0</v>
      </c>
      <c r="I1023" s="4">
        <v>1</v>
      </c>
      <c r="J1023" s="8">
        <v>5.5555555555555558E-3</v>
      </c>
      <c r="K1023" s="4"/>
      <c r="L1023" s="4"/>
      <c r="M1023" s="4" t="s">
        <v>32</v>
      </c>
      <c r="N1023" s="4" t="s">
        <v>27</v>
      </c>
      <c r="O1023" s="4" t="s">
        <v>56</v>
      </c>
    </row>
    <row r="1024" spans="2:15" ht="21" customHeight="1" x14ac:dyDescent="0.3">
      <c r="B1024" s="11" t="s">
        <v>74</v>
      </c>
      <c r="C1024" s="12">
        <v>16</v>
      </c>
      <c r="D1024" s="13" t="s">
        <v>48</v>
      </c>
      <c r="E1024" s="11" t="s">
        <v>16</v>
      </c>
      <c r="F1024" s="11" t="s">
        <v>17</v>
      </c>
      <c r="G1024" s="14">
        <v>0</v>
      </c>
      <c r="H1024" s="15">
        <v>0</v>
      </c>
      <c r="I1024" s="11">
        <v>1</v>
      </c>
      <c r="J1024" s="16">
        <v>5.5555555555555558E-3</v>
      </c>
      <c r="K1024" s="11"/>
      <c r="L1024" s="11"/>
      <c r="M1024" s="11" t="s">
        <v>44</v>
      </c>
      <c r="N1024" s="11" t="s">
        <v>21</v>
      </c>
      <c r="O1024" s="11" t="s">
        <v>22</v>
      </c>
    </row>
    <row r="1025" spans="2:15" ht="21" customHeight="1" x14ac:dyDescent="0.3">
      <c r="B1025" s="4" t="s">
        <v>14</v>
      </c>
      <c r="C1025" s="5">
        <v>11</v>
      </c>
      <c r="D1025" s="6" t="s">
        <v>61</v>
      </c>
      <c r="E1025" s="4" t="s">
        <v>34</v>
      </c>
      <c r="F1025" s="4" t="s">
        <v>46</v>
      </c>
      <c r="G1025" s="7">
        <v>4</v>
      </c>
      <c r="H1025" s="1">
        <v>20000000</v>
      </c>
      <c r="I1025" s="4">
        <v>1</v>
      </c>
      <c r="J1025" s="8">
        <v>5.6712962962962958E-3</v>
      </c>
      <c r="K1025" s="4" t="s">
        <v>18</v>
      </c>
      <c r="L1025" s="4" t="s">
        <v>60</v>
      </c>
      <c r="M1025" s="4" t="s">
        <v>20</v>
      </c>
      <c r="N1025" s="4" t="s">
        <v>21</v>
      </c>
      <c r="O1025" s="4" t="s">
        <v>66</v>
      </c>
    </row>
    <row r="1026" spans="2:15" ht="21" customHeight="1" x14ac:dyDescent="0.3">
      <c r="B1026" s="11" t="s">
        <v>14</v>
      </c>
      <c r="C1026" s="12">
        <v>1</v>
      </c>
      <c r="D1026" s="13" t="s">
        <v>63</v>
      </c>
      <c r="E1026" s="11" t="s">
        <v>42</v>
      </c>
      <c r="F1026" s="11" t="s">
        <v>24</v>
      </c>
      <c r="G1026" s="14">
        <v>2</v>
      </c>
      <c r="H1026" s="15">
        <v>12000000</v>
      </c>
      <c r="I1026" s="11">
        <v>5</v>
      </c>
      <c r="J1026" s="16">
        <v>5.6712962962962958E-3</v>
      </c>
      <c r="K1026" s="11" t="s">
        <v>18</v>
      </c>
      <c r="L1026" s="11" t="s">
        <v>38</v>
      </c>
      <c r="M1026" s="11" t="s">
        <v>44</v>
      </c>
      <c r="N1026" s="11" t="s">
        <v>39</v>
      </c>
      <c r="O1026" s="11" t="s">
        <v>40</v>
      </c>
    </row>
    <row r="1027" spans="2:15" ht="21" customHeight="1" x14ac:dyDescent="0.3">
      <c r="B1027" s="4" t="s">
        <v>14</v>
      </c>
      <c r="C1027" s="5">
        <v>10</v>
      </c>
      <c r="D1027" s="6" t="s">
        <v>29</v>
      </c>
      <c r="E1027" s="4" t="s">
        <v>42</v>
      </c>
      <c r="F1027" s="4" t="s">
        <v>46</v>
      </c>
      <c r="G1027" s="7">
        <v>2</v>
      </c>
      <c r="H1027" s="1">
        <v>38000000</v>
      </c>
      <c r="I1027" s="4">
        <v>2</v>
      </c>
      <c r="J1027" s="8">
        <v>5.6712962962962958E-3</v>
      </c>
      <c r="K1027" s="4" t="s">
        <v>78</v>
      </c>
      <c r="L1027" s="4" t="s">
        <v>51</v>
      </c>
      <c r="M1027" s="4" t="s">
        <v>52</v>
      </c>
      <c r="N1027" s="4" t="s">
        <v>21</v>
      </c>
      <c r="O1027" s="4" t="s">
        <v>67</v>
      </c>
    </row>
    <row r="1028" spans="2:15" ht="21" customHeight="1" x14ac:dyDescent="0.3">
      <c r="B1028" s="11" t="s">
        <v>14</v>
      </c>
      <c r="C1028" s="12">
        <v>11</v>
      </c>
      <c r="D1028" s="13" t="s">
        <v>29</v>
      </c>
      <c r="E1028" s="11" t="s">
        <v>16</v>
      </c>
      <c r="F1028" s="11" t="s">
        <v>24</v>
      </c>
      <c r="G1028" s="14">
        <v>2</v>
      </c>
      <c r="H1028" s="15">
        <v>12000000</v>
      </c>
      <c r="I1028" s="11">
        <v>4</v>
      </c>
      <c r="J1028" s="16">
        <v>5.6712962962962958E-3</v>
      </c>
      <c r="K1028" s="11" t="s">
        <v>18</v>
      </c>
      <c r="L1028" s="11" t="s">
        <v>43</v>
      </c>
      <c r="M1028" s="11" t="s">
        <v>32</v>
      </c>
      <c r="N1028" s="11" t="s">
        <v>27</v>
      </c>
      <c r="O1028" s="11" t="s">
        <v>33</v>
      </c>
    </row>
    <row r="1029" spans="2:15" ht="21" customHeight="1" x14ac:dyDescent="0.3">
      <c r="B1029" s="4" t="s">
        <v>14</v>
      </c>
      <c r="C1029" s="5">
        <v>12</v>
      </c>
      <c r="D1029" s="6" t="s">
        <v>29</v>
      </c>
      <c r="E1029" s="4" t="s">
        <v>42</v>
      </c>
      <c r="F1029" s="4" t="s">
        <v>17</v>
      </c>
      <c r="G1029" s="7">
        <v>3</v>
      </c>
      <c r="H1029" s="1">
        <v>15000000</v>
      </c>
      <c r="I1029" s="4">
        <v>4</v>
      </c>
      <c r="J1029" s="8">
        <v>5.6712962962962958E-3</v>
      </c>
      <c r="K1029" s="4" t="s">
        <v>18</v>
      </c>
      <c r="L1029" s="4" t="s">
        <v>25</v>
      </c>
      <c r="M1029" s="4" t="s">
        <v>32</v>
      </c>
      <c r="N1029" s="4" t="s">
        <v>27</v>
      </c>
      <c r="O1029" s="4" t="s">
        <v>33</v>
      </c>
    </row>
    <row r="1030" spans="2:15" ht="21" customHeight="1" x14ac:dyDescent="0.3">
      <c r="B1030" s="11" t="s">
        <v>14</v>
      </c>
      <c r="C1030" s="12">
        <v>27</v>
      </c>
      <c r="D1030" s="13" t="s">
        <v>41</v>
      </c>
      <c r="E1030" s="11" t="s">
        <v>34</v>
      </c>
      <c r="F1030" s="11" t="s">
        <v>49</v>
      </c>
      <c r="G1030" s="14">
        <v>1</v>
      </c>
      <c r="H1030" s="15">
        <v>19000000</v>
      </c>
      <c r="I1030" s="11">
        <v>1</v>
      </c>
      <c r="J1030" s="16">
        <v>5.6712962962962958E-3</v>
      </c>
      <c r="K1030" s="11" t="s">
        <v>50</v>
      </c>
      <c r="L1030" s="11" t="s">
        <v>19</v>
      </c>
      <c r="M1030" s="11" t="s">
        <v>35</v>
      </c>
      <c r="N1030" s="11" t="s">
        <v>21</v>
      </c>
      <c r="O1030" s="11" t="s">
        <v>45</v>
      </c>
    </row>
    <row r="1031" spans="2:15" ht="21" customHeight="1" x14ac:dyDescent="0.3">
      <c r="B1031" s="4" t="s">
        <v>14</v>
      </c>
      <c r="C1031" s="5">
        <v>30</v>
      </c>
      <c r="D1031" s="6" t="s">
        <v>41</v>
      </c>
      <c r="E1031" s="4" t="s">
        <v>42</v>
      </c>
      <c r="F1031" s="4" t="s">
        <v>46</v>
      </c>
      <c r="G1031" s="7">
        <v>4</v>
      </c>
      <c r="H1031" s="1">
        <v>11000000</v>
      </c>
      <c r="I1031" s="4">
        <v>3</v>
      </c>
      <c r="J1031" s="8">
        <v>5.6712962962962958E-3</v>
      </c>
      <c r="K1031" s="4" t="s">
        <v>65</v>
      </c>
      <c r="L1031" s="4" t="s">
        <v>43</v>
      </c>
      <c r="M1031" s="4" t="s">
        <v>47</v>
      </c>
      <c r="N1031" s="4" t="s">
        <v>27</v>
      </c>
      <c r="O1031" s="4" t="s">
        <v>28</v>
      </c>
    </row>
    <row r="1032" spans="2:15" ht="21" customHeight="1" x14ac:dyDescent="0.3">
      <c r="B1032" s="11" t="s">
        <v>14</v>
      </c>
      <c r="C1032" s="12">
        <v>27</v>
      </c>
      <c r="D1032" s="13" t="s">
        <v>41</v>
      </c>
      <c r="E1032" s="11" t="s">
        <v>30</v>
      </c>
      <c r="F1032" s="11" t="s">
        <v>17</v>
      </c>
      <c r="G1032" s="14">
        <v>5</v>
      </c>
      <c r="H1032" s="15">
        <v>25000000</v>
      </c>
      <c r="I1032" s="11">
        <v>2</v>
      </c>
      <c r="J1032" s="16">
        <v>5.6712962962962958E-3</v>
      </c>
      <c r="K1032" s="11" t="s">
        <v>18</v>
      </c>
      <c r="L1032" s="11" t="s">
        <v>43</v>
      </c>
      <c r="M1032" s="11" t="s">
        <v>44</v>
      </c>
      <c r="N1032" s="11" t="s">
        <v>27</v>
      </c>
      <c r="O1032" s="11" t="s">
        <v>56</v>
      </c>
    </row>
    <row r="1033" spans="2:15" ht="21" customHeight="1" x14ac:dyDescent="0.3">
      <c r="B1033" s="4" t="s">
        <v>14</v>
      </c>
      <c r="C1033" s="5">
        <v>9</v>
      </c>
      <c r="D1033" s="6" t="s">
        <v>41</v>
      </c>
      <c r="E1033" s="4" t="s">
        <v>16</v>
      </c>
      <c r="F1033" s="4" t="s">
        <v>46</v>
      </c>
      <c r="G1033" s="7">
        <v>3</v>
      </c>
      <c r="H1033" s="1">
        <v>15000000</v>
      </c>
      <c r="I1033" s="4">
        <v>4</v>
      </c>
      <c r="J1033" s="8">
        <v>5.6712962962962958E-3</v>
      </c>
      <c r="K1033" s="4" t="s">
        <v>18</v>
      </c>
      <c r="L1033" s="4" t="s">
        <v>60</v>
      </c>
      <c r="M1033" s="4" t="s">
        <v>35</v>
      </c>
      <c r="N1033" s="4" t="s">
        <v>39</v>
      </c>
      <c r="O1033" s="4" t="s">
        <v>71</v>
      </c>
    </row>
    <row r="1034" spans="2:15" ht="21" customHeight="1" x14ac:dyDescent="0.3">
      <c r="B1034" s="11" t="s">
        <v>14</v>
      </c>
      <c r="C1034" s="12">
        <v>22</v>
      </c>
      <c r="D1034" s="13" t="s">
        <v>48</v>
      </c>
      <c r="E1034" s="11" t="s">
        <v>77</v>
      </c>
      <c r="F1034" s="11" t="s">
        <v>46</v>
      </c>
      <c r="G1034" s="14">
        <v>3</v>
      </c>
      <c r="H1034" s="15">
        <v>15000000</v>
      </c>
      <c r="I1034" s="11">
        <v>1</v>
      </c>
      <c r="J1034" s="16">
        <v>5.6712962962962958E-3</v>
      </c>
      <c r="K1034" s="11" t="s">
        <v>18</v>
      </c>
      <c r="L1034" s="11" t="s">
        <v>31</v>
      </c>
      <c r="M1034" s="11" t="s">
        <v>52</v>
      </c>
      <c r="N1034" s="11" t="s">
        <v>39</v>
      </c>
      <c r="O1034" s="11" t="s">
        <v>40</v>
      </c>
    </row>
    <row r="1035" spans="2:15" ht="21" customHeight="1" x14ac:dyDescent="0.3">
      <c r="B1035" s="4" t="s">
        <v>14</v>
      </c>
      <c r="C1035" s="5">
        <v>23</v>
      </c>
      <c r="D1035" s="6" t="s">
        <v>73</v>
      </c>
      <c r="E1035" s="4" t="s">
        <v>42</v>
      </c>
      <c r="F1035" s="4" t="s">
        <v>46</v>
      </c>
      <c r="G1035" s="7">
        <v>5</v>
      </c>
      <c r="H1035" s="1">
        <v>21000000</v>
      </c>
      <c r="I1035" s="4">
        <v>1</v>
      </c>
      <c r="J1035" s="8">
        <v>5.6712962962962958E-3</v>
      </c>
      <c r="K1035" s="4" t="s">
        <v>18</v>
      </c>
      <c r="L1035" s="4" t="s">
        <v>68</v>
      </c>
      <c r="M1035" s="4" t="s">
        <v>26</v>
      </c>
      <c r="N1035" s="4" t="s">
        <v>21</v>
      </c>
      <c r="O1035" s="4" t="s">
        <v>45</v>
      </c>
    </row>
    <row r="1036" spans="2:15" ht="21" customHeight="1" x14ac:dyDescent="0.3">
      <c r="B1036" s="11" t="s">
        <v>14</v>
      </c>
      <c r="C1036" s="12">
        <v>11</v>
      </c>
      <c r="D1036" s="13" t="s">
        <v>61</v>
      </c>
      <c r="E1036" s="11" t="s">
        <v>34</v>
      </c>
      <c r="F1036" s="11" t="s">
        <v>46</v>
      </c>
      <c r="G1036" s="14">
        <v>4</v>
      </c>
      <c r="H1036" s="15">
        <v>20000000</v>
      </c>
      <c r="I1036" s="11">
        <v>1</v>
      </c>
      <c r="J1036" s="16">
        <v>5.6712962962962958E-3</v>
      </c>
      <c r="K1036" s="11" t="s">
        <v>18</v>
      </c>
      <c r="L1036" s="11" t="s">
        <v>60</v>
      </c>
      <c r="M1036" s="11" t="s">
        <v>20</v>
      </c>
      <c r="N1036" s="11" t="s">
        <v>21</v>
      </c>
      <c r="O1036" s="11" t="s">
        <v>66</v>
      </c>
    </row>
    <row r="1037" spans="2:15" ht="21" customHeight="1" x14ac:dyDescent="0.3">
      <c r="B1037" s="4" t="s">
        <v>14</v>
      </c>
      <c r="C1037" s="5">
        <v>1</v>
      </c>
      <c r="D1037" s="6" t="s">
        <v>63</v>
      </c>
      <c r="E1037" s="4" t="s">
        <v>42</v>
      </c>
      <c r="F1037" s="4" t="s">
        <v>24</v>
      </c>
      <c r="G1037" s="7">
        <v>2</v>
      </c>
      <c r="H1037" s="1">
        <v>12000000</v>
      </c>
      <c r="I1037" s="4">
        <v>5</v>
      </c>
      <c r="J1037" s="8">
        <v>5.6712962962962958E-3</v>
      </c>
      <c r="K1037" s="4" t="s">
        <v>18</v>
      </c>
      <c r="L1037" s="4" t="s">
        <v>38</v>
      </c>
      <c r="M1037" s="4" t="s">
        <v>44</v>
      </c>
      <c r="N1037" s="4" t="s">
        <v>39</v>
      </c>
      <c r="O1037" s="4" t="s">
        <v>40</v>
      </c>
    </row>
    <row r="1038" spans="2:15" ht="21" customHeight="1" x14ac:dyDescent="0.3">
      <c r="B1038" s="11" t="s">
        <v>74</v>
      </c>
      <c r="C1038" s="12">
        <v>18</v>
      </c>
      <c r="D1038" s="13" t="s">
        <v>62</v>
      </c>
      <c r="E1038" s="11" t="s">
        <v>16</v>
      </c>
      <c r="F1038" s="11" t="s">
        <v>46</v>
      </c>
      <c r="G1038" s="14">
        <v>0</v>
      </c>
      <c r="H1038" s="15">
        <v>0</v>
      </c>
      <c r="I1038" s="11">
        <v>1</v>
      </c>
      <c r="J1038" s="16">
        <v>5.6712962962962958E-3</v>
      </c>
      <c r="K1038" s="11"/>
      <c r="L1038" s="11"/>
      <c r="M1038" s="11" t="s">
        <v>20</v>
      </c>
      <c r="N1038" s="11" t="s">
        <v>27</v>
      </c>
      <c r="O1038" s="11" t="s">
        <v>33</v>
      </c>
    </row>
    <row r="1039" spans="2:15" ht="21" customHeight="1" x14ac:dyDescent="0.3">
      <c r="B1039" s="4" t="s">
        <v>74</v>
      </c>
      <c r="C1039" s="5">
        <v>2</v>
      </c>
      <c r="D1039" s="6" t="s">
        <v>76</v>
      </c>
      <c r="E1039" s="4" t="s">
        <v>16</v>
      </c>
      <c r="F1039" s="4" t="s">
        <v>24</v>
      </c>
      <c r="G1039" s="7">
        <v>0</v>
      </c>
      <c r="H1039" s="1">
        <v>0</v>
      </c>
      <c r="I1039" s="4">
        <v>4</v>
      </c>
      <c r="J1039" s="8">
        <v>5.6712962962962958E-3</v>
      </c>
      <c r="K1039" s="4"/>
      <c r="L1039" s="4"/>
      <c r="M1039" s="4" t="s">
        <v>55</v>
      </c>
      <c r="N1039" s="4" t="s">
        <v>36</v>
      </c>
      <c r="O1039" s="4" t="s">
        <v>58</v>
      </c>
    </row>
    <row r="1040" spans="2:15" ht="21" customHeight="1" x14ac:dyDescent="0.3">
      <c r="B1040" s="11" t="s">
        <v>74</v>
      </c>
      <c r="C1040" s="12">
        <v>18</v>
      </c>
      <c r="D1040" s="13" t="s">
        <v>62</v>
      </c>
      <c r="E1040" s="11" t="s">
        <v>16</v>
      </c>
      <c r="F1040" s="11" t="s">
        <v>46</v>
      </c>
      <c r="G1040" s="14">
        <v>0</v>
      </c>
      <c r="H1040" s="15">
        <v>0</v>
      </c>
      <c r="I1040" s="11">
        <v>1</v>
      </c>
      <c r="J1040" s="16">
        <v>5.6712962962962958E-3</v>
      </c>
      <c r="K1040" s="11"/>
      <c r="L1040" s="11"/>
      <c r="M1040" s="11" t="s">
        <v>20</v>
      </c>
      <c r="N1040" s="11" t="s">
        <v>27</v>
      </c>
      <c r="O1040" s="11" t="s">
        <v>33</v>
      </c>
    </row>
    <row r="1041" spans="2:15" ht="21" customHeight="1" x14ac:dyDescent="0.3">
      <c r="B1041" s="4" t="s">
        <v>74</v>
      </c>
      <c r="C1041" s="5">
        <v>2</v>
      </c>
      <c r="D1041" s="6" t="s">
        <v>76</v>
      </c>
      <c r="E1041" s="4" t="s">
        <v>16</v>
      </c>
      <c r="F1041" s="4" t="s">
        <v>24</v>
      </c>
      <c r="G1041" s="7">
        <v>0</v>
      </c>
      <c r="H1041" s="1">
        <v>0</v>
      </c>
      <c r="I1041" s="4">
        <v>4</v>
      </c>
      <c r="J1041" s="8">
        <v>5.6712962962962958E-3</v>
      </c>
      <c r="K1041" s="4"/>
      <c r="L1041" s="4"/>
      <c r="M1041" s="4" t="s">
        <v>55</v>
      </c>
      <c r="N1041" s="4" t="s">
        <v>36</v>
      </c>
      <c r="O1041" s="4" t="s">
        <v>58</v>
      </c>
    </row>
    <row r="1042" spans="2:15" ht="21" customHeight="1" x14ac:dyDescent="0.3">
      <c r="B1042" s="11" t="s">
        <v>14</v>
      </c>
      <c r="C1042" s="12">
        <v>13</v>
      </c>
      <c r="D1042" s="13" t="s">
        <v>59</v>
      </c>
      <c r="E1042" s="11" t="s">
        <v>16</v>
      </c>
      <c r="F1042" s="11" t="s">
        <v>46</v>
      </c>
      <c r="G1042" s="14">
        <v>4</v>
      </c>
      <c r="H1042" s="15">
        <v>15000000</v>
      </c>
      <c r="I1042" s="11">
        <v>5</v>
      </c>
      <c r="J1042" s="16">
        <v>5.6944444444444438E-3</v>
      </c>
      <c r="K1042" s="11" t="s">
        <v>18</v>
      </c>
      <c r="L1042" s="11" t="s">
        <v>38</v>
      </c>
      <c r="M1042" s="11" t="s">
        <v>52</v>
      </c>
      <c r="N1042" s="11" t="s">
        <v>27</v>
      </c>
      <c r="O1042" s="11" t="s">
        <v>56</v>
      </c>
    </row>
    <row r="1043" spans="2:15" ht="21" customHeight="1" x14ac:dyDescent="0.3">
      <c r="B1043" s="4" t="s">
        <v>14</v>
      </c>
      <c r="C1043" s="5">
        <v>11</v>
      </c>
      <c r="D1043" s="6" t="s">
        <v>61</v>
      </c>
      <c r="E1043" s="4" t="s">
        <v>30</v>
      </c>
      <c r="F1043" s="4" t="s">
        <v>17</v>
      </c>
      <c r="G1043" s="7">
        <v>2</v>
      </c>
      <c r="H1043" s="1">
        <v>38000000</v>
      </c>
      <c r="I1043" s="4">
        <v>2</v>
      </c>
      <c r="J1043" s="8">
        <v>5.6944444444444438E-3</v>
      </c>
      <c r="K1043" s="4" t="s">
        <v>50</v>
      </c>
      <c r="L1043" s="4" t="s">
        <v>19</v>
      </c>
      <c r="M1043" s="4" t="s">
        <v>26</v>
      </c>
      <c r="N1043" s="4" t="s">
        <v>21</v>
      </c>
      <c r="O1043" s="4" t="s">
        <v>66</v>
      </c>
    </row>
    <row r="1044" spans="2:15" ht="21" customHeight="1" x14ac:dyDescent="0.3">
      <c r="B1044" s="11" t="s">
        <v>14</v>
      </c>
      <c r="C1044" s="12">
        <v>12</v>
      </c>
      <c r="D1044" s="13" t="s">
        <v>63</v>
      </c>
      <c r="E1044" s="11" t="s">
        <v>16</v>
      </c>
      <c r="F1044" s="11" t="s">
        <v>46</v>
      </c>
      <c r="G1044" s="14">
        <v>1</v>
      </c>
      <c r="H1044" s="15">
        <v>7000000</v>
      </c>
      <c r="I1044" s="11">
        <v>1</v>
      </c>
      <c r="J1044" s="16">
        <v>5.6944444444444438E-3</v>
      </c>
      <c r="K1044" s="11" t="s">
        <v>18</v>
      </c>
      <c r="L1044" s="11" t="s">
        <v>43</v>
      </c>
      <c r="M1044" s="11" t="s">
        <v>20</v>
      </c>
      <c r="N1044" s="11" t="s">
        <v>36</v>
      </c>
      <c r="O1044" s="11" t="s">
        <v>69</v>
      </c>
    </row>
    <row r="1045" spans="2:15" ht="21" customHeight="1" x14ac:dyDescent="0.3">
      <c r="B1045" s="4" t="s">
        <v>14</v>
      </c>
      <c r="C1045" s="5">
        <v>27</v>
      </c>
      <c r="D1045" s="6" t="s">
        <v>23</v>
      </c>
      <c r="E1045" s="4" t="s">
        <v>34</v>
      </c>
      <c r="F1045" s="4" t="s">
        <v>72</v>
      </c>
      <c r="G1045" s="7">
        <v>5</v>
      </c>
      <c r="H1045" s="1">
        <v>25000000</v>
      </c>
      <c r="I1045" s="4">
        <v>4</v>
      </c>
      <c r="J1045" s="8">
        <v>5.6944444444444438E-3</v>
      </c>
      <c r="K1045" s="4" t="s">
        <v>18</v>
      </c>
      <c r="L1045" s="4" t="s">
        <v>60</v>
      </c>
      <c r="M1045" s="4" t="s">
        <v>55</v>
      </c>
      <c r="N1045" s="4" t="s">
        <v>21</v>
      </c>
      <c r="O1045" s="4" t="s">
        <v>67</v>
      </c>
    </row>
    <row r="1046" spans="2:15" ht="21" customHeight="1" x14ac:dyDescent="0.3">
      <c r="B1046" s="11" t="s">
        <v>14</v>
      </c>
      <c r="C1046" s="12">
        <v>30</v>
      </c>
      <c r="D1046" s="13" t="s">
        <v>29</v>
      </c>
      <c r="E1046" s="11" t="s">
        <v>34</v>
      </c>
      <c r="F1046" s="11" t="s">
        <v>46</v>
      </c>
      <c r="G1046" s="14">
        <v>1</v>
      </c>
      <c r="H1046" s="15">
        <v>19000000</v>
      </c>
      <c r="I1046" s="11">
        <v>5</v>
      </c>
      <c r="J1046" s="16">
        <v>5.6944444444444438E-3</v>
      </c>
      <c r="K1046" s="11" t="s">
        <v>50</v>
      </c>
      <c r="L1046" s="11" t="s">
        <v>60</v>
      </c>
      <c r="M1046" s="11" t="s">
        <v>44</v>
      </c>
      <c r="N1046" s="11" t="s">
        <v>21</v>
      </c>
      <c r="O1046" s="11" t="s">
        <v>67</v>
      </c>
    </row>
    <row r="1047" spans="2:15" ht="21" customHeight="1" x14ac:dyDescent="0.3">
      <c r="B1047" s="4" t="s">
        <v>14</v>
      </c>
      <c r="C1047" s="5">
        <v>19</v>
      </c>
      <c r="D1047" s="6" t="s">
        <v>29</v>
      </c>
      <c r="E1047" s="4" t="s">
        <v>34</v>
      </c>
      <c r="F1047" s="4" t="s">
        <v>72</v>
      </c>
      <c r="G1047" s="7">
        <v>5</v>
      </c>
      <c r="H1047" s="1">
        <v>20000000</v>
      </c>
      <c r="I1047" s="4">
        <v>5</v>
      </c>
      <c r="J1047" s="8">
        <v>5.6944444444444438E-3</v>
      </c>
      <c r="K1047" s="4" t="s">
        <v>18</v>
      </c>
      <c r="L1047" s="4" t="s">
        <v>43</v>
      </c>
      <c r="M1047" s="4" t="s">
        <v>35</v>
      </c>
      <c r="N1047" s="4" t="s">
        <v>21</v>
      </c>
      <c r="O1047" s="4" t="s">
        <v>57</v>
      </c>
    </row>
    <row r="1048" spans="2:15" ht="21" customHeight="1" x14ac:dyDescent="0.3">
      <c r="B1048" s="11" t="s">
        <v>14</v>
      </c>
      <c r="C1048" s="12">
        <v>12</v>
      </c>
      <c r="D1048" s="13" t="s">
        <v>29</v>
      </c>
      <c r="E1048" s="11" t="s">
        <v>16</v>
      </c>
      <c r="F1048" s="11" t="s">
        <v>46</v>
      </c>
      <c r="G1048" s="14">
        <v>3</v>
      </c>
      <c r="H1048" s="15">
        <v>11000000</v>
      </c>
      <c r="I1048" s="11">
        <v>5</v>
      </c>
      <c r="J1048" s="16">
        <v>5.6944444444444438E-3</v>
      </c>
      <c r="K1048" s="11" t="s">
        <v>18</v>
      </c>
      <c r="L1048" s="11" t="s">
        <v>68</v>
      </c>
      <c r="M1048" s="11" t="s">
        <v>26</v>
      </c>
      <c r="N1048" s="11" t="s">
        <v>39</v>
      </c>
      <c r="O1048" s="11" t="s">
        <v>71</v>
      </c>
    </row>
    <row r="1049" spans="2:15" ht="21" customHeight="1" x14ac:dyDescent="0.3">
      <c r="B1049" s="4" t="s">
        <v>14</v>
      </c>
      <c r="C1049" s="5">
        <v>21</v>
      </c>
      <c r="D1049" s="6" t="s">
        <v>41</v>
      </c>
      <c r="E1049" s="4" t="s">
        <v>16</v>
      </c>
      <c r="F1049" s="4" t="s">
        <v>24</v>
      </c>
      <c r="G1049" s="7">
        <v>2</v>
      </c>
      <c r="H1049" s="1">
        <v>12000000</v>
      </c>
      <c r="I1049" s="4">
        <v>1</v>
      </c>
      <c r="J1049" s="8">
        <v>5.6944444444444438E-3</v>
      </c>
      <c r="K1049" s="4" t="s">
        <v>18</v>
      </c>
      <c r="L1049" s="4" t="s">
        <v>51</v>
      </c>
      <c r="M1049" s="4" t="s">
        <v>20</v>
      </c>
      <c r="N1049" s="4" t="s">
        <v>27</v>
      </c>
      <c r="O1049" s="4" t="s">
        <v>75</v>
      </c>
    </row>
    <row r="1050" spans="2:15" ht="21" customHeight="1" x14ac:dyDescent="0.3">
      <c r="B1050" s="11" t="s">
        <v>14</v>
      </c>
      <c r="C1050" s="12">
        <v>17</v>
      </c>
      <c r="D1050" s="13" t="s">
        <v>48</v>
      </c>
      <c r="E1050" s="11" t="s">
        <v>42</v>
      </c>
      <c r="F1050" s="11" t="s">
        <v>46</v>
      </c>
      <c r="G1050" s="14">
        <v>2</v>
      </c>
      <c r="H1050" s="15">
        <v>12000000</v>
      </c>
      <c r="I1050" s="11">
        <v>4</v>
      </c>
      <c r="J1050" s="16">
        <v>5.6944444444444438E-3</v>
      </c>
      <c r="K1050" s="11" t="s">
        <v>18</v>
      </c>
      <c r="L1050" s="11" t="s">
        <v>68</v>
      </c>
      <c r="M1050" s="11" t="s">
        <v>20</v>
      </c>
      <c r="N1050" s="11" t="s">
        <v>39</v>
      </c>
      <c r="O1050" s="11" t="s">
        <v>40</v>
      </c>
    </row>
    <row r="1051" spans="2:15" ht="21" customHeight="1" x14ac:dyDescent="0.3">
      <c r="B1051" s="4" t="s">
        <v>14</v>
      </c>
      <c r="C1051" s="5">
        <v>15</v>
      </c>
      <c r="D1051" s="6" t="s">
        <v>73</v>
      </c>
      <c r="E1051" s="4" t="s">
        <v>30</v>
      </c>
      <c r="F1051" s="4" t="s">
        <v>72</v>
      </c>
      <c r="G1051" s="7">
        <v>4</v>
      </c>
      <c r="H1051" s="1">
        <v>20000000</v>
      </c>
      <c r="I1051" s="4">
        <v>2</v>
      </c>
      <c r="J1051" s="8">
        <v>5.6944444444444438E-3</v>
      </c>
      <c r="K1051" s="4" t="s">
        <v>65</v>
      </c>
      <c r="L1051" s="4" t="s">
        <v>31</v>
      </c>
      <c r="M1051" s="4" t="s">
        <v>47</v>
      </c>
      <c r="N1051" s="4" t="s">
        <v>27</v>
      </c>
      <c r="O1051" s="4" t="s">
        <v>56</v>
      </c>
    </row>
    <row r="1052" spans="2:15" ht="21" customHeight="1" x14ac:dyDescent="0.3">
      <c r="B1052" s="11" t="s">
        <v>14</v>
      </c>
      <c r="C1052" s="12">
        <v>1</v>
      </c>
      <c r="D1052" s="13" t="s">
        <v>73</v>
      </c>
      <c r="E1052" s="11" t="s">
        <v>42</v>
      </c>
      <c r="F1052" s="11" t="s">
        <v>46</v>
      </c>
      <c r="G1052" s="14">
        <v>3</v>
      </c>
      <c r="H1052" s="15">
        <v>12000000</v>
      </c>
      <c r="I1052" s="11">
        <v>4</v>
      </c>
      <c r="J1052" s="16">
        <v>5.6944444444444438E-3</v>
      </c>
      <c r="K1052" s="11" t="s">
        <v>18</v>
      </c>
      <c r="L1052" s="11" t="s">
        <v>19</v>
      </c>
      <c r="M1052" s="11" t="s">
        <v>47</v>
      </c>
      <c r="N1052" s="11" t="s">
        <v>36</v>
      </c>
      <c r="O1052" s="11" t="s">
        <v>58</v>
      </c>
    </row>
    <row r="1053" spans="2:15" ht="21" customHeight="1" x14ac:dyDescent="0.3">
      <c r="B1053" s="4" t="s">
        <v>14</v>
      </c>
      <c r="C1053" s="5">
        <v>13</v>
      </c>
      <c r="D1053" s="6" t="s">
        <v>59</v>
      </c>
      <c r="E1053" s="4" t="s">
        <v>16</v>
      </c>
      <c r="F1053" s="4" t="s">
        <v>46</v>
      </c>
      <c r="G1053" s="7">
        <v>4</v>
      </c>
      <c r="H1053" s="1">
        <v>15000000</v>
      </c>
      <c r="I1053" s="4">
        <v>5</v>
      </c>
      <c r="J1053" s="8">
        <v>5.6944444444444438E-3</v>
      </c>
      <c r="K1053" s="4" t="s">
        <v>18</v>
      </c>
      <c r="L1053" s="4" t="s">
        <v>38</v>
      </c>
      <c r="M1053" s="4" t="s">
        <v>52</v>
      </c>
      <c r="N1053" s="4" t="s">
        <v>27</v>
      </c>
      <c r="O1053" s="4" t="s">
        <v>56</v>
      </c>
    </row>
    <row r="1054" spans="2:15" ht="21" customHeight="1" x14ac:dyDescent="0.3">
      <c r="B1054" s="11" t="s">
        <v>14</v>
      </c>
      <c r="C1054" s="12">
        <v>11</v>
      </c>
      <c r="D1054" s="13" t="s">
        <v>61</v>
      </c>
      <c r="E1054" s="11" t="s">
        <v>30</v>
      </c>
      <c r="F1054" s="11" t="s">
        <v>17</v>
      </c>
      <c r="G1054" s="14">
        <v>2</v>
      </c>
      <c r="H1054" s="15">
        <v>38000000</v>
      </c>
      <c r="I1054" s="11">
        <v>2</v>
      </c>
      <c r="J1054" s="16">
        <v>5.6944444444444438E-3</v>
      </c>
      <c r="K1054" s="11" t="s">
        <v>50</v>
      </c>
      <c r="L1054" s="11" t="s">
        <v>19</v>
      </c>
      <c r="M1054" s="11" t="s">
        <v>26</v>
      </c>
      <c r="N1054" s="11" t="s">
        <v>21</v>
      </c>
      <c r="O1054" s="11" t="s">
        <v>66</v>
      </c>
    </row>
    <row r="1055" spans="2:15" ht="21" customHeight="1" x14ac:dyDescent="0.3">
      <c r="B1055" s="4" t="s">
        <v>14</v>
      </c>
      <c r="C1055" s="5">
        <v>12</v>
      </c>
      <c r="D1055" s="6" t="s">
        <v>63</v>
      </c>
      <c r="E1055" s="4" t="s">
        <v>16</v>
      </c>
      <c r="F1055" s="4" t="s">
        <v>46</v>
      </c>
      <c r="G1055" s="7">
        <v>1</v>
      </c>
      <c r="H1055" s="1">
        <v>7000000</v>
      </c>
      <c r="I1055" s="4">
        <v>1</v>
      </c>
      <c r="J1055" s="8">
        <v>5.6944444444444438E-3</v>
      </c>
      <c r="K1055" s="4" t="s">
        <v>18</v>
      </c>
      <c r="L1055" s="4" t="s">
        <v>43</v>
      </c>
      <c r="M1055" s="4" t="s">
        <v>20</v>
      </c>
      <c r="N1055" s="4" t="s">
        <v>36</v>
      </c>
      <c r="O1055" s="4" t="s">
        <v>69</v>
      </c>
    </row>
    <row r="1056" spans="2:15" ht="21" customHeight="1" x14ac:dyDescent="0.3">
      <c r="B1056" s="11" t="s">
        <v>14</v>
      </c>
      <c r="C1056" s="12">
        <v>27</v>
      </c>
      <c r="D1056" s="13" t="s">
        <v>23</v>
      </c>
      <c r="E1056" s="11" t="s">
        <v>34</v>
      </c>
      <c r="F1056" s="11" t="s">
        <v>72</v>
      </c>
      <c r="G1056" s="14">
        <v>5</v>
      </c>
      <c r="H1056" s="15">
        <v>25000000</v>
      </c>
      <c r="I1056" s="11">
        <v>4</v>
      </c>
      <c r="J1056" s="16">
        <v>5.6944444444444438E-3</v>
      </c>
      <c r="K1056" s="11" t="s">
        <v>18</v>
      </c>
      <c r="L1056" s="11" t="s">
        <v>60</v>
      </c>
      <c r="M1056" s="11" t="s">
        <v>55</v>
      </c>
      <c r="N1056" s="11" t="s">
        <v>21</v>
      </c>
      <c r="O1056" s="11" t="s">
        <v>67</v>
      </c>
    </row>
    <row r="1057" spans="2:15" ht="21" customHeight="1" x14ac:dyDescent="0.3">
      <c r="B1057" s="4" t="s">
        <v>74</v>
      </c>
      <c r="C1057" s="5">
        <v>12</v>
      </c>
      <c r="D1057" s="6" t="s">
        <v>62</v>
      </c>
      <c r="E1057" s="4" t="s">
        <v>53</v>
      </c>
      <c r="F1057" s="4" t="s">
        <v>24</v>
      </c>
      <c r="G1057" s="7">
        <v>0</v>
      </c>
      <c r="H1057" s="1">
        <v>0</v>
      </c>
      <c r="I1057" s="4">
        <v>3</v>
      </c>
      <c r="J1057" s="8">
        <v>5.6944444444444438E-3</v>
      </c>
      <c r="K1057" s="4"/>
      <c r="L1057" s="4"/>
      <c r="M1057" s="4" t="s">
        <v>55</v>
      </c>
      <c r="N1057" s="4" t="s">
        <v>36</v>
      </c>
      <c r="O1057" s="4" t="s">
        <v>58</v>
      </c>
    </row>
    <row r="1058" spans="2:15" ht="21" customHeight="1" x14ac:dyDescent="0.3">
      <c r="B1058" s="11" t="s">
        <v>74</v>
      </c>
      <c r="C1058" s="12">
        <v>25</v>
      </c>
      <c r="D1058" s="13" t="s">
        <v>48</v>
      </c>
      <c r="E1058" s="11" t="s">
        <v>16</v>
      </c>
      <c r="F1058" s="11" t="s">
        <v>46</v>
      </c>
      <c r="G1058" s="14">
        <v>0</v>
      </c>
      <c r="H1058" s="15">
        <v>0</v>
      </c>
      <c r="I1058" s="11">
        <v>1</v>
      </c>
      <c r="J1058" s="16">
        <v>5.6944444444444438E-3</v>
      </c>
      <c r="K1058" s="11"/>
      <c r="L1058" s="11"/>
      <c r="M1058" s="11" t="s">
        <v>52</v>
      </c>
      <c r="N1058" s="11" t="s">
        <v>39</v>
      </c>
      <c r="O1058" s="11" t="s">
        <v>71</v>
      </c>
    </row>
    <row r="1059" spans="2:15" ht="21" customHeight="1" x14ac:dyDescent="0.3">
      <c r="B1059" s="4" t="s">
        <v>74</v>
      </c>
      <c r="C1059" s="5">
        <v>12</v>
      </c>
      <c r="D1059" s="6" t="s">
        <v>62</v>
      </c>
      <c r="E1059" s="4" t="s">
        <v>53</v>
      </c>
      <c r="F1059" s="4" t="s">
        <v>24</v>
      </c>
      <c r="G1059" s="7">
        <v>0</v>
      </c>
      <c r="H1059" s="1">
        <v>0</v>
      </c>
      <c r="I1059" s="4">
        <v>3</v>
      </c>
      <c r="J1059" s="8">
        <v>5.6944444444444438E-3</v>
      </c>
      <c r="K1059" s="4"/>
      <c r="L1059" s="4"/>
      <c r="M1059" s="4" t="s">
        <v>55</v>
      </c>
      <c r="N1059" s="4" t="s">
        <v>36</v>
      </c>
      <c r="O1059" s="4" t="s">
        <v>58</v>
      </c>
    </row>
    <row r="1060" spans="2:15" ht="21" customHeight="1" x14ac:dyDescent="0.3">
      <c r="B1060" s="11" t="s">
        <v>14</v>
      </c>
      <c r="C1060" s="12">
        <v>12</v>
      </c>
      <c r="D1060" s="13" t="s">
        <v>23</v>
      </c>
      <c r="E1060" s="11" t="s">
        <v>16</v>
      </c>
      <c r="F1060" s="11" t="s">
        <v>46</v>
      </c>
      <c r="G1060" s="14">
        <v>3</v>
      </c>
      <c r="H1060" s="15">
        <v>15000000</v>
      </c>
      <c r="I1060" s="11">
        <v>1</v>
      </c>
      <c r="J1060" s="16">
        <v>5.7870370370370376E-3</v>
      </c>
      <c r="K1060" s="11" t="s">
        <v>18</v>
      </c>
      <c r="L1060" s="11" t="s">
        <v>38</v>
      </c>
      <c r="M1060" s="11" t="s">
        <v>44</v>
      </c>
      <c r="N1060" s="11" t="s">
        <v>27</v>
      </c>
      <c r="O1060" s="11" t="s">
        <v>28</v>
      </c>
    </row>
    <row r="1061" spans="2:15" ht="21" customHeight="1" x14ac:dyDescent="0.3">
      <c r="B1061" s="4" t="s">
        <v>14</v>
      </c>
      <c r="C1061" s="5">
        <v>30</v>
      </c>
      <c r="D1061" s="6" t="s">
        <v>29</v>
      </c>
      <c r="E1061" s="4" t="s">
        <v>30</v>
      </c>
      <c r="F1061" s="4" t="s">
        <v>46</v>
      </c>
      <c r="G1061" s="7">
        <v>2</v>
      </c>
      <c r="H1061" s="1">
        <v>12000000</v>
      </c>
      <c r="I1061" s="4">
        <v>2</v>
      </c>
      <c r="J1061" s="8">
        <v>5.7870370370370376E-3</v>
      </c>
      <c r="K1061" s="4" t="s">
        <v>18</v>
      </c>
      <c r="L1061" s="4" t="s">
        <v>68</v>
      </c>
      <c r="M1061" s="4" t="s">
        <v>32</v>
      </c>
      <c r="N1061" s="4" t="s">
        <v>36</v>
      </c>
      <c r="O1061" s="4" t="s">
        <v>58</v>
      </c>
    </row>
    <row r="1062" spans="2:15" ht="21" customHeight="1" x14ac:dyDescent="0.3">
      <c r="B1062" s="11" t="s">
        <v>14</v>
      </c>
      <c r="C1062" s="12">
        <v>6</v>
      </c>
      <c r="D1062" s="13" t="s">
        <v>29</v>
      </c>
      <c r="E1062" s="11" t="s">
        <v>34</v>
      </c>
      <c r="F1062" s="11" t="s">
        <v>46</v>
      </c>
      <c r="G1062" s="14">
        <v>5</v>
      </c>
      <c r="H1062" s="15">
        <v>20000000</v>
      </c>
      <c r="I1062" s="11">
        <v>2</v>
      </c>
      <c r="J1062" s="16">
        <v>5.7870370370370376E-3</v>
      </c>
      <c r="K1062" s="11" t="s">
        <v>18</v>
      </c>
      <c r="L1062" s="11" t="s">
        <v>43</v>
      </c>
      <c r="M1062" s="11" t="s">
        <v>47</v>
      </c>
      <c r="N1062" s="11" t="s">
        <v>21</v>
      </c>
      <c r="O1062" s="11" t="s">
        <v>57</v>
      </c>
    </row>
    <row r="1063" spans="2:15" ht="21" customHeight="1" x14ac:dyDescent="0.3">
      <c r="B1063" s="4" t="s">
        <v>14</v>
      </c>
      <c r="C1063" s="5">
        <v>21</v>
      </c>
      <c r="D1063" s="6" t="s">
        <v>41</v>
      </c>
      <c r="E1063" s="4" t="s">
        <v>30</v>
      </c>
      <c r="F1063" s="4" t="s">
        <v>24</v>
      </c>
      <c r="G1063" s="7">
        <v>1</v>
      </c>
      <c r="H1063" s="1">
        <v>7000000</v>
      </c>
      <c r="I1063" s="4">
        <v>2</v>
      </c>
      <c r="J1063" s="8">
        <v>5.7870370370370376E-3</v>
      </c>
      <c r="K1063" s="4" t="s">
        <v>18</v>
      </c>
      <c r="L1063" s="4" t="s">
        <v>19</v>
      </c>
      <c r="M1063" s="4" t="s">
        <v>32</v>
      </c>
      <c r="N1063" s="4" t="s">
        <v>27</v>
      </c>
      <c r="O1063" s="4" t="s">
        <v>79</v>
      </c>
    </row>
    <row r="1064" spans="2:15" ht="21" customHeight="1" x14ac:dyDescent="0.3">
      <c r="B1064" s="11" t="s">
        <v>14</v>
      </c>
      <c r="C1064" s="12">
        <v>22</v>
      </c>
      <c r="D1064" s="13" t="s">
        <v>41</v>
      </c>
      <c r="E1064" s="11" t="s">
        <v>53</v>
      </c>
      <c r="F1064" s="11" t="s">
        <v>24</v>
      </c>
      <c r="G1064" s="14">
        <v>3</v>
      </c>
      <c r="H1064" s="15">
        <v>15000000</v>
      </c>
      <c r="I1064" s="11">
        <v>5</v>
      </c>
      <c r="J1064" s="16">
        <v>5.7870370370370376E-3</v>
      </c>
      <c r="K1064" s="11" t="s">
        <v>18</v>
      </c>
      <c r="L1064" s="11" t="s">
        <v>43</v>
      </c>
      <c r="M1064" s="11" t="s">
        <v>52</v>
      </c>
      <c r="N1064" s="11" t="s">
        <v>21</v>
      </c>
      <c r="O1064" s="11" t="s">
        <v>70</v>
      </c>
    </row>
    <row r="1065" spans="2:15" ht="21" customHeight="1" x14ac:dyDescent="0.3">
      <c r="B1065" s="4" t="s">
        <v>14</v>
      </c>
      <c r="C1065" s="5">
        <v>12</v>
      </c>
      <c r="D1065" s="6" t="s">
        <v>41</v>
      </c>
      <c r="E1065" s="4" t="s">
        <v>30</v>
      </c>
      <c r="F1065" s="4" t="s">
        <v>46</v>
      </c>
      <c r="G1065" s="7">
        <v>4</v>
      </c>
      <c r="H1065" s="1">
        <v>15000000</v>
      </c>
      <c r="I1065" s="4">
        <v>4</v>
      </c>
      <c r="J1065" s="8">
        <v>5.7870370370370376E-3</v>
      </c>
      <c r="K1065" s="4" t="s">
        <v>18</v>
      </c>
      <c r="L1065" s="4" t="s">
        <v>60</v>
      </c>
      <c r="M1065" s="4" t="s">
        <v>35</v>
      </c>
      <c r="N1065" s="4" t="s">
        <v>27</v>
      </c>
      <c r="O1065" s="4" t="s">
        <v>56</v>
      </c>
    </row>
    <row r="1066" spans="2:15" ht="21" customHeight="1" x14ac:dyDescent="0.3">
      <c r="B1066" s="11" t="s">
        <v>14</v>
      </c>
      <c r="C1066" s="12">
        <v>23</v>
      </c>
      <c r="D1066" s="13" t="s">
        <v>48</v>
      </c>
      <c r="E1066" s="11" t="s">
        <v>30</v>
      </c>
      <c r="F1066" s="11" t="s">
        <v>24</v>
      </c>
      <c r="G1066" s="14">
        <v>2</v>
      </c>
      <c r="H1066" s="15">
        <v>12000000</v>
      </c>
      <c r="I1066" s="11">
        <v>1</v>
      </c>
      <c r="J1066" s="16">
        <v>5.7870370370370376E-3</v>
      </c>
      <c r="K1066" s="11" t="s">
        <v>18</v>
      </c>
      <c r="L1066" s="11" t="s">
        <v>38</v>
      </c>
      <c r="M1066" s="11" t="s">
        <v>26</v>
      </c>
      <c r="N1066" s="11" t="s">
        <v>21</v>
      </c>
      <c r="O1066" s="11" t="s">
        <v>45</v>
      </c>
    </row>
    <row r="1067" spans="2:15" ht="21" customHeight="1" x14ac:dyDescent="0.3">
      <c r="B1067" s="4" t="s">
        <v>14</v>
      </c>
      <c r="C1067" s="5">
        <v>29</v>
      </c>
      <c r="D1067" s="6" t="s">
        <v>48</v>
      </c>
      <c r="E1067" s="4" t="s">
        <v>42</v>
      </c>
      <c r="F1067" s="4" t="s">
        <v>17</v>
      </c>
      <c r="G1067" s="7">
        <v>2</v>
      </c>
      <c r="H1067" s="1">
        <v>12000000</v>
      </c>
      <c r="I1067" s="4">
        <v>2</v>
      </c>
      <c r="J1067" s="8">
        <v>5.7870370370370376E-3</v>
      </c>
      <c r="K1067" s="4" t="s">
        <v>18</v>
      </c>
      <c r="L1067" s="4" t="s">
        <v>43</v>
      </c>
      <c r="M1067" s="4" t="s">
        <v>52</v>
      </c>
      <c r="N1067" s="4" t="s">
        <v>21</v>
      </c>
      <c r="O1067" s="4" t="s">
        <v>57</v>
      </c>
    </row>
    <row r="1068" spans="2:15" ht="21" customHeight="1" x14ac:dyDescent="0.3">
      <c r="B1068" s="11" t="s">
        <v>14</v>
      </c>
      <c r="C1068" s="12">
        <v>21</v>
      </c>
      <c r="D1068" s="13" t="s">
        <v>73</v>
      </c>
      <c r="E1068" s="11" t="s">
        <v>16</v>
      </c>
      <c r="F1068" s="11" t="s">
        <v>46</v>
      </c>
      <c r="G1068" s="14">
        <v>1</v>
      </c>
      <c r="H1068" s="15">
        <v>19000000</v>
      </c>
      <c r="I1068" s="11">
        <v>2</v>
      </c>
      <c r="J1068" s="16">
        <v>5.7870370370370376E-3</v>
      </c>
      <c r="K1068" s="11" t="s">
        <v>50</v>
      </c>
      <c r="L1068" s="11" t="s">
        <v>60</v>
      </c>
      <c r="M1068" s="11" t="s">
        <v>32</v>
      </c>
      <c r="N1068" s="11" t="s">
        <v>21</v>
      </c>
      <c r="O1068" s="11" t="s">
        <v>70</v>
      </c>
    </row>
    <row r="1069" spans="2:15" ht="21" customHeight="1" x14ac:dyDescent="0.3">
      <c r="B1069" s="4" t="s">
        <v>14</v>
      </c>
      <c r="C1069" s="5">
        <v>24</v>
      </c>
      <c r="D1069" s="6" t="s">
        <v>73</v>
      </c>
      <c r="E1069" s="4" t="s">
        <v>16</v>
      </c>
      <c r="F1069" s="4" t="s">
        <v>24</v>
      </c>
      <c r="G1069" s="7">
        <v>3</v>
      </c>
      <c r="H1069" s="1">
        <v>15000000</v>
      </c>
      <c r="I1069" s="4">
        <v>1</v>
      </c>
      <c r="J1069" s="8">
        <v>5.7870370370370376E-3</v>
      </c>
      <c r="K1069" s="4" t="s">
        <v>18</v>
      </c>
      <c r="L1069" s="4" t="s">
        <v>25</v>
      </c>
      <c r="M1069" s="4" t="s">
        <v>35</v>
      </c>
      <c r="N1069" s="4" t="s">
        <v>27</v>
      </c>
      <c r="O1069" s="4" t="s">
        <v>28</v>
      </c>
    </row>
    <row r="1070" spans="2:15" ht="21" customHeight="1" x14ac:dyDescent="0.3">
      <c r="B1070" s="11" t="s">
        <v>74</v>
      </c>
      <c r="C1070" s="12">
        <v>20</v>
      </c>
      <c r="D1070" s="13" t="s">
        <v>29</v>
      </c>
      <c r="E1070" s="11" t="s">
        <v>16</v>
      </c>
      <c r="F1070" s="11" t="s">
        <v>46</v>
      </c>
      <c r="G1070" s="14">
        <v>0</v>
      </c>
      <c r="H1070" s="15">
        <v>0</v>
      </c>
      <c r="I1070" s="11">
        <v>1</v>
      </c>
      <c r="J1070" s="16">
        <v>5.7870370370370376E-3</v>
      </c>
      <c r="K1070" s="11"/>
      <c r="L1070" s="11"/>
      <c r="M1070" s="11" t="s">
        <v>52</v>
      </c>
      <c r="N1070" s="11" t="s">
        <v>27</v>
      </c>
      <c r="O1070" s="11" t="s">
        <v>56</v>
      </c>
    </row>
    <row r="1071" spans="2:15" ht="21" customHeight="1" x14ac:dyDescent="0.3">
      <c r="B1071" s="4" t="s">
        <v>74</v>
      </c>
      <c r="C1071" s="5">
        <v>8</v>
      </c>
      <c r="D1071" s="6" t="s">
        <v>41</v>
      </c>
      <c r="E1071" s="4" t="s">
        <v>42</v>
      </c>
      <c r="F1071" s="4" t="s">
        <v>46</v>
      </c>
      <c r="G1071" s="7">
        <v>0</v>
      </c>
      <c r="H1071" s="1">
        <v>0</v>
      </c>
      <c r="I1071" s="4">
        <v>5</v>
      </c>
      <c r="J1071" s="8">
        <v>5.7870370370370376E-3</v>
      </c>
      <c r="K1071" s="4"/>
      <c r="L1071" s="4"/>
      <c r="M1071" s="4" t="s">
        <v>20</v>
      </c>
      <c r="N1071" s="4" t="s">
        <v>36</v>
      </c>
      <c r="O1071" s="4" t="s">
        <v>58</v>
      </c>
    </row>
    <row r="1072" spans="2:15" ht="21" customHeight="1" x14ac:dyDescent="0.3">
      <c r="B1072" s="11" t="s">
        <v>74</v>
      </c>
      <c r="C1072" s="12">
        <v>31</v>
      </c>
      <c r="D1072" s="13" t="s">
        <v>73</v>
      </c>
      <c r="E1072" s="11" t="s">
        <v>16</v>
      </c>
      <c r="F1072" s="11" t="s">
        <v>46</v>
      </c>
      <c r="G1072" s="14">
        <v>0</v>
      </c>
      <c r="H1072" s="15">
        <v>0</v>
      </c>
      <c r="I1072" s="11">
        <v>1</v>
      </c>
      <c r="J1072" s="16">
        <v>5.7870370370370376E-3</v>
      </c>
      <c r="K1072" s="11"/>
      <c r="L1072" s="11"/>
      <c r="M1072" s="11" t="s">
        <v>55</v>
      </c>
      <c r="N1072" s="11" t="s">
        <v>39</v>
      </c>
      <c r="O1072" s="11" t="s">
        <v>40</v>
      </c>
    </row>
    <row r="1073" spans="2:15" ht="21" customHeight="1" x14ac:dyDescent="0.3">
      <c r="B1073" s="4" t="s">
        <v>14</v>
      </c>
      <c r="C1073" s="5">
        <v>30</v>
      </c>
      <c r="D1073" s="6" t="s">
        <v>23</v>
      </c>
      <c r="E1073" s="4" t="s">
        <v>30</v>
      </c>
      <c r="F1073" s="4" t="s">
        <v>17</v>
      </c>
      <c r="G1073" s="7">
        <v>2</v>
      </c>
      <c r="H1073" s="1">
        <v>38000000</v>
      </c>
      <c r="I1073" s="4">
        <v>2</v>
      </c>
      <c r="J1073" s="8">
        <v>6.0185185185185177E-3</v>
      </c>
      <c r="K1073" s="4" t="s">
        <v>50</v>
      </c>
      <c r="L1073" s="4" t="s">
        <v>60</v>
      </c>
      <c r="M1073" s="4" t="s">
        <v>20</v>
      </c>
      <c r="N1073" s="4" t="s">
        <v>27</v>
      </c>
      <c r="O1073" s="4" t="s">
        <v>33</v>
      </c>
    </row>
    <row r="1074" spans="2:15" ht="21" customHeight="1" x14ac:dyDescent="0.3">
      <c r="B1074" s="11" t="s">
        <v>14</v>
      </c>
      <c r="C1074" s="12">
        <v>28</v>
      </c>
      <c r="D1074" s="13" t="s">
        <v>29</v>
      </c>
      <c r="E1074" s="11" t="s">
        <v>16</v>
      </c>
      <c r="F1074" s="11" t="s">
        <v>46</v>
      </c>
      <c r="G1074" s="14">
        <v>2</v>
      </c>
      <c r="H1074" s="15">
        <v>12000000</v>
      </c>
      <c r="I1074" s="11">
        <v>2</v>
      </c>
      <c r="J1074" s="16">
        <v>6.0185185185185177E-3</v>
      </c>
      <c r="K1074" s="11" t="s">
        <v>18</v>
      </c>
      <c r="L1074" s="11" t="s">
        <v>31</v>
      </c>
      <c r="M1074" s="11" t="s">
        <v>32</v>
      </c>
      <c r="N1074" s="11" t="s">
        <v>39</v>
      </c>
      <c r="O1074" s="11" t="s">
        <v>71</v>
      </c>
    </row>
    <row r="1075" spans="2:15" ht="21" customHeight="1" x14ac:dyDescent="0.3">
      <c r="B1075" s="4" t="s">
        <v>14</v>
      </c>
      <c r="C1075" s="5">
        <v>28</v>
      </c>
      <c r="D1075" s="6" t="s">
        <v>29</v>
      </c>
      <c r="E1075" s="4" t="s">
        <v>42</v>
      </c>
      <c r="F1075" s="4" t="s">
        <v>24</v>
      </c>
      <c r="G1075" s="7">
        <v>3</v>
      </c>
      <c r="H1075" s="1">
        <v>15000000</v>
      </c>
      <c r="I1075" s="4">
        <v>2</v>
      </c>
      <c r="J1075" s="8">
        <v>6.0185185185185177E-3</v>
      </c>
      <c r="K1075" s="4" t="s">
        <v>18</v>
      </c>
      <c r="L1075" s="4" t="s">
        <v>19</v>
      </c>
      <c r="M1075" s="4" t="s">
        <v>32</v>
      </c>
      <c r="N1075" s="4" t="s">
        <v>39</v>
      </c>
      <c r="O1075" s="4" t="s">
        <v>71</v>
      </c>
    </row>
    <row r="1076" spans="2:15" ht="21" customHeight="1" x14ac:dyDescent="0.3">
      <c r="B1076" s="11" t="s">
        <v>14</v>
      </c>
      <c r="C1076" s="12">
        <v>30</v>
      </c>
      <c r="D1076" s="13" t="s">
        <v>29</v>
      </c>
      <c r="E1076" s="11" t="s">
        <v>77</v>
      </c>
      <c r="F1076" s="11" t="s">
        <v>24</v>
      </c>
      <c r="G1076" s="14">
        <v>3</v>
      </c>
      <c r="H1076" s="15">
        <v>15000000</v>
      </c>
      <c r="I1076" s="11">
        <v>4</v>
      </c>
      <c r="J1076" s="16">
        <v>6.0185185185185177E-3</v>
      </c>
      <c r="K1076" s="11" t="s">
        <v>18</v>
      </c>
      <c r="L1076" s="11" t="s">
        <v>60</v>
      </c>
      <c r="M1076" s="11" t="s">
        <v>35</v>
      </c>
      <c r="N1076" s="11" t="s">
        <v>27</v>
      </c>
      <c r="O1076" s="11" t="s">
        <v>28</v>
      </c>
    </row>
    <row r="1077" spans="2:15" ht="21" customHeight="1" x14ac:dyDescent="0.3">
      <c r="B1077" s="4" t="s">
        <v>14</v>
      </c>
      <c r="C1077" s="5">
        <v>30</v>
      </c>
      <c r="D1077" s="6" t="s">
        <v>29</v>
      </c>
      <c r="E1077" s="4" t="s">
        <v>34</v>
      </c>
      <c r="F1077" s="4" t="s">
        <v>17</v>
      </c>
      <c r="G1077" s="7">
        <v>2</v>
      </c>
      <c r="H1077" s="1">
        <v>12000000</v>
      </c>
      <c r="I1077" s="4">
        <v>2</v>
      </c>
      <c r="J1077" s="8">
        <v>6.0185185185185177E-3</v>
      </c>
      <c r="K1077" s="4" t="s">
        <v>18</v>
      </c>
      <c r="L1077" s="4" t="s">
        <v>60</v>
      </c>
      <c r="M1077" s="4" t="s">
        <v>47</v>
      </c>
      <c r="N1077" s="4" t="s">
        <v>27</v>
      </c>
      <c r="O1077" s="4" t="s">
        <v>28</v>
      </c>
    </row>
    <row r="1078" spans="2:15" ht="21" customHeight="1" x14ac:dyDescent="0.3">
      <c r="B1078" s="11" t="s">
        <v>14</v>
      </c>
      <c r="C1078" s="12">
        <v>6</v>
      </c>
      <c r="D1078" s="13" t="s">
        <v>29</v>
      </c>
      <c r="E1078" s="11" t="s">
        <v>77</v>
      </c>
      <c r="F1078" s="11" t="s">
        <v>24</v>
      </c>
      <c r="G1078" s="14">
        <v>3</v>
      </c>
      <c r="H1078" s="15">
        <v>15000000</v>
      </c>
      <c r="I1078" s="11">
        <v>4</v>
      </c>
      <c r="J1078" s="16">
        <v>6.0185185185185177E-3</v>
      </c>
      <c r="K1078" s="11" t="s">
        <v>18</v>
      </c>
      <c r="L1078" s="11" t="s">
        <v>43</v>
      </c>
      <c r="M1078" s="11" t="s">
        <v>52</v>
      </c>
      <c r="N1078" s="11" t="s">
        <v>27</v>
      </c>
      <c r="O1078" s="11" t="s">
        <v>28</v>
      </c>
    </row>
    <row r="1079" spans="2:15" ht="21" customHeight="1" x14ac:dyDescent="0.3">
      <c r="B1079" s="4" t="s">
        <v>14</v>
      </c>
      <c r="C1079" s="5">
        <v>27</v>
      </c>
      <c r="D1079" s="6" t="s">
        <v>41</v>
      </c>
      <c r="E1079" s="4" t="s">
        <v>16</v>
      </c>
      <c r="F1079" s="4" t="s">
        <v>24</v>
      </c>
      <c r="G1079" s="7">
        <v>4</v>
      </c>
      <c r="H1079" s="1">
        <v>20000000</v>
      </c>
      <c r="I1079" s="4">
        <v>5</v>
      </c>
      <c r="J1079" s="8">
        <v>6.0185185185185177E-3</v>
      </c>
      <c r="K1079" s="4" t="s">
        <v>65</v>
      </c>
      <c r="L1079" s="4" t="s">
        <v>60</v>
      </c>
      <c r="M1079" s="4" t="s">
        <v>55</v>
      </c>
      <c r="N1079" s="4" t="s">
        <v>27</v>
      </c>
      <c r="O1079" s="4" t="s">
        <v>56</v>
      </c>
    </row>
    <row r="1080" spans="2:15" ht="21" customHeight="1" x14ac:dyDescent="0.3">
      <c r="B1080" s="11" t="s">
        <v>14</v>
      </c>
      <c r="C1080" s="12">
        <v>11</v>
      </c>
      <c r="D1080" s="13" t="s">
        <v>41</v>
      </c>
      <c r="E1080" s="11" t="s">
        <v>53</v>
      </c>
      <c r="F1080" s="11" t="s">
        <v>17</v>
      </c>
      <c r="G1080" s="14">
        <v>1</v>
      </c>
      <c r="H1080" s="15">
        <v>7000000</v>
      </c>
      <c r="I1080" s="11">
        <v>1</v>
      </c>
      <c r="J1080" s="16">
        <v>6.0185185185185177E-3</v>
      </c>
      <c r="K1080" s="11" t="s">
        <v>18</v>
      </c>
      <c r="L1080" s="11" t="s">
        <v>19</v>
      </c>
      <c r="M1080" s="11" t="s">
        <v>32</v>
      </c>
      <c r="N1080" s="11" t="s">
        <v>36</v>
      </c>
      <c r="O1080" s="11" t="s">
        <v>58</v>
      </c>
    </row>
    <row r="1081" spans="2:15" ht="21" customHeight="1" x14ac:dyDescent="0.3">
      <c r="B1081" s="4" t="s">
        <v>14</v>
      </c>
      <c r="C1081" s="5">
        <v>29</v>
      </c>
      <c r="D1081" s="6" t="s">
        <v>41</v>
      </c>
      <c r="E1081" s="4" t="s">
        <v>42</v>
      </c>
      <c r="F1081" s="4" t="s">
        <v>46</v>
      </c>
      <c r="G1081" s="7">
        <v>2</v>
      </c>
      <c r="H1081" s="1">
        <v>12000000</v>
      </c>
      <c r="I1081" s="4">
        <v>2</v>
      </c>
      <c r="J1081" s="8">
        <v>6.0185185185185177E-3</v>
      </c>
      <c r="K1081" s="4" t="s">
        <v>18</v>
      </c>
      <c r="L1081" s="4" t="s">
        <v>38</v>
      </c>
      <c r="M1081" s="4" t="s">
        <v>32</v>
      </c>
      <c r="N1081" s="4" t="s">
        <v>21</v>
      </c>
      <c r="O1081" s="4" t="s">
        <v>45</v>
      </c>
    </row>
    <row r="1082" spans="2:15" ht="21" customHeight="1" x14ac:dyDescent="0.3">
      <c r="B1082" s="11" t="s">
        <v>14</v>
      </c>
      <c r="C1082" s="12">
        <v>7</v>
      </c>
      <c r="D1082" s="13" t="s">
        <v>41</v>
      </c>
      <c r="E1082" s="11" t="s">
        <v>42</v>
      </c>
      <c r="F1082" s="11" t="s">
        <v>17</v>
      </c>
      <c r="G1082" s="14">
        <v>2</v>
      </c>
      <c r="H1082" s="15">
        <v>12000000</v>
      </c>
      <c r="I1082" s="11">
        <v>7</v>
      </c>
      <c r="J1082" s="16">
        <v>6.0185185185185177E-3</v>
      </c>
      <c r="K1082" s="11" t="s">
        <v>18</v>
      </c>
      <c r="L1082" s="11" t="s">
        <v>19</v>
      </c>
      <c r="M1082" s="11" t="s">
        <v>20</v>
      </c>
      <c r="N1082" s="11" t="s">
        <v>36</v>
      </c>
      <c r="O1082" s="11" t="s">
        <v>69</v>
      </c>
    </row>
    <row r="1083" spans="2:15" ht="21" customHeight="1" x14ac:dyDescent="0.3">
      <c r="B1083" s="4" t="s">
        <v>14</v>
      </c>
      <c r="C1083" s="5">
        <v>8</v>
      </c>
      <c r="D1083" s="6" t="s">
        <v>41</v>
      </c>
      <c r="E1083" s="4" t="s">
        <v>16</v>
      </c>
      <c r="F1083" s="4" t="s">
        <v>46</v>
      </c>
      <c r="G1083" s="7">
        <v>3</v>
      </c>
      <c r="H1083" s="1">
        <v>15000000</v>
      </c>
      <c r="I1083" s="4">
        <v>2</v>
      </c>
      <c r="J1083" s="8">
        <v>6.0185185185185177E-3</v>
      </c>
      <c r="K1083" s="4" t="s">
        <v>18</v>
      </c>
      <c r="L1083" s="4" t="s">
        <v>25</v>
      </c>
      <c r="M1083" s="4" t="s">
        <v>47</v>
      </c>
      <c r="N1083" s="4" t="s">
        <v>27</v>
      </c>
      <c r="O1083" s="4" t="s">
        <v>75</v>
      </c>
    </row>
    <row r="1084" spans="2:15" ht="21" customHeight="1" x14ac:dyDescent="0.3">
      <c r="B1084" s="11" t="s">
        <v>14</v>
      </c>
      <c r="C1084" s="12">
        <v>11</v>
      </c>
      <c r="D1084" s="13" t="s">
        <v>41</v>
      </c>
      <c r="E1084" s="11" t="s">
        <v>30</v>
      </c>
      <c r="F1084" s="11" t="s">
        <v>72</v>
      </c>
      <c r="G1084" s="14">
        <v>4</v>
      </c>
      <c r="H1084" s="15">
        <v>20000000</v>
      </c>
      <c r="I1084" s="11">
        <v>5</v>
      </c>
      <c r="J1084" s="16">
        <v>6.0185185185185177E-3</v>
      </c>
      <c r="K1084" s="11" t="s">
        <v>18</v>
      </c>
      <c r="L1084" s="11" t="s">
        <v>43</v>
      </c>
      <c r="M1084" s="11" t="s">
        <v>55</v>
      </c>
      <c r="N1084" s="11" t="s">
        <v>36</v>
      </c>
      <c r="O1084" s="11" t="s">
        <v>58</v>
      </c>
    </row>
    <row r="1085" spans="2:15" ht="21" customHeight="1" x14ac:dyDescent="0.3">
      <c r="B1085" s="4" t="s">
        <v>14</v>
      </c>
      <c r="C1085" s="5">
        <v>22</v>
      </c>
      <c r="D1085" s="6" t="s">
        <v>48</v>
      </c>
      <c r="E1085" s="4" t="s">
        <v>30</v>
      </c>
      <c r="F1085" s="4" t="s">
        <v>17</v>
      </c>
      <c r="G1085" s="7">
        <v>1</v>
      </c>
      <c r="H1085" s="1">
        <v>19000000</v>
      </c>
      <c r="I1085" s="4">
        <v>1</v>
      </c>
      <c r="J1085" s="8">
        <v>6.0185185185185177E-3</v>
      </c>
      <c r="K1085" s="4" t="s">
        <v>50</v>
      </c>
      <c r="L1085" s="4" t="s">
        <v>31</v>
      </c>
      <c r="M1085" s="4" t="s">
        <v>44</v>
      </c>
      <c r="N1085" s="4" t="s">
        <v>27</v>
      </c>
      <c r="O1085" s="4" t="s">
        <v>28</v>
      </c>
    </row>
    <row r="1086" spans="2:15" ht="21" customHeight="1" x14ac:dyDescent="0.3">
      <c r="B1086" s="11" t="s">
        <v>14</v>
      </c>
      <c r="C1086" s="12">
        <v>6</v>
      </c>
      <c r="D1086" s="13" t="s">
        <v>48</v>
      </c>
      <c r="E1086" s="11" t="s">
        <v>16</v>
      </c>
      <c r="F1086" s="11" t="s">
        <v>46</v>
      </c>
      <c r="G1086" s="14">
        <v>4</v>
      </c>
      <c r="H1086" s="15">
        <v>20000000</v>
      </c>
      <c r="I1086" s="11">
        <v>1</v>
      </c>
      <c r="J1086" s="16">
        <v>6.0185185185185177E-3</v>
      </c>
      <c r="K1086" s="11" t="s">
        <v>65</v>
      </c>
      <c r="L1086" s="11" t="s">
        <v>68</v>
      </c>
      <c r="M1086" s="11" t="s">
        <v>32</v>
      </c>
      <c r="N1086" s="11" t="s">
        <v>21</v>
      </c>
      <c r="O1086" s="11" t="s">
        <v>70</v>
      </c>
    </row>
    <row r="1087" spans="2:15" ht="21" customHeight="1" x14ac:dyDescent="0.3">
      <c r="B1087" s="4" t="s">
        <v>14</v>
      </c>
      <c r="C1087" s="5">
        <v>1</v>
      </c>
      <c r="D1087" s="6" t="s">
        <v>48</v>
      </c>
      <c r="E1087" s="4" t="s">
        <v>34</v>
      </c>
      <c r="F1087" s="4" t="s">
        <v>17</v>
      </c>
      <c r="G1087" s="7">
        <v>2</v>
      </c>
      <c r="H1087" s="1">
        <v>12000000</v>
      </c>
      <c r="I1087" s="4">
        <v>1</v>
      </c>
      <c r="J1087" s="8">
        <v>6.0185185185185177E-3</v>
      </c>
      <c r="K1087" s="4" t="s">
        <v>18</v>
      </c>
      <c r="L1087" s="4" t="s">
        <v>31</v>
      </c>
      <c r="M1087" s="4" t="s">
        <v>32</v>
      </c>
      <c r="N1087" s="4" t="s">
        <v>21</v>
      </c>
      <c r="O1087" s="4" t="s">
        <v>57</v>
      </c>
    </row>
    <row r="1088" spans="2:15" ht="21" customHeight="1" x14ac:dyDescent="0.3">
      <c r="B1088" s="11" t="s">
        <v>14</v>
      </c>
      <c r="C1088" s="12">
        <v>14</v>
      </c>
      <c r="D1088" s="13" t="s">
        <v>48</v>
      </c>
      <c r="E1088" s="11" t="s">
        <v>42</v>
      </c>
      <c r="F1088" s="11" t="s">
        <v>46</v>
      </c>
      <c r="G1088" s="14">
        <v>5</v>
      </c>
      <c r="H1088" s="15">
        <v>25000000</v>
      </c>
      <c r="I1088" s="11">
        <v>1</v>
      </c>
      <c r="J1088" s="16">
        <v>6.0185185185185177E-3</v>
      </c>
      <c r="K1088" s="11" t="s">
        <v>18</v>
      </c>
      <c r="L1088" s="11" t="s">
        <v>54</v>
      </c>
      <c r="M1088" s="11" t="s">
        <v>32</v>
      </c>
      <c r="N1088" s="11" t="s">
        <v>27</v>
      </c>
      <c r="O1088" s="11" t="s">
        <v>33</v>
      </c>
    </row>
    <row r="1089" spans="2:15" ht="21" customHeight="1" x14ac:dyDescent="0.3">
      <c r="B1089" s="4" t="s">
        <v>14</v>
      </c>
      <c r="C1089" s="5">
        <v>10</v>
      </c>
      <c r="D1089" s="6" t="s">
        <v>48</v>
      </c>
      <c r="E1089" s="4" t="s">
        <v>16</v>
      </c>
      <c r="F1089" s="4" t="s">
        <v>24</v>
      </c>
      <c r="G1089" s="7">
        <v>1</v>
      </c>
      <c r="H1089" s="1">
        <v>7000000</v>
      </c>
      <c r="I1089" s="4">
        <v>2</v>
      </c>
      <c r="J1089" s="8">
        <v>6.0185185185185177E-3</v>
      </c>
      <c r="K1089" s="4" t="s">
        <v>18</v>
      </c>
      <c r="L1089" s="4" t="s">
        <v>68</v>
      </c>
      <c r="M1089" s="4" t="s">
        <v>52</v>
      </c>
      <c r="N1089" s="4" t="s">
        <v>21</v>
      </c>
      <c r="O1089" s="4" t="s">
        <v>70</v>
      </c>
    </row>
    <row r="1090" spans="2:15" ht="21" customHeight="1" x14ac:dyDescent="0.3">
      <c r="B1090" s="11" t="s">
        <v>14</v>
      </c>
      <c r="C1090" s="12">
        <v>13</v>
      </c>
      <c r="D1090" s="13" t="s">
        <v>73</v>
      </c>
      <c r="E1090" s="11" t="s">
        <v>34</v>
      </c>
      <c r="F1090" s="11" t="s">
        <v>46</v>
      </c>
      <c r="G1090" s="14">
        <v>1</v>
      </c>
      <c r="H1090" s="15">
        <v>19000000</v>
      </c>
      <c r="I1090" s="11">
        <v>2</v>
      </c>
      <c r="J1090" s="16">
        <v>6.0185185185185177E-3</v>
      </c>
      <c r="K1090" s="11" t="s">
        <v>50</v>
      </c>
      <c r="L1090" s="11" t="s">
        <v>19</v>
      </c>
      <c r="M1090" s="11" t="s">
        <v>55</v>
      </c>
      <c r="N1090" s="11" t="s">
        <v>21</v>
      </c>
      <c r="O1090" s="11" t="s">
        <v>45</v>
      </c>
    </row>
    <row r="1091" spans="2:15" ht="21" customHeight="1" x14ac:dyDescent="0.3">
      <c r="B1091" s="4" t="s">
        <v>14</v>
      </c>
      <c r="C1091" s="5">
        <v>16</v>
      </c>
      <c r="D1091" s="6" t="s">
        <v>73</v>
      </c>
      <c r="E1091" s="4" t="s">
        <v>16</v>
      </c>
      <c r="F1091" s="4" t="s">
        <v>17</v>
      </c>
      <c r="G1091" s="7">
        <v>5</v>
      </c>
      <c r="H1091" s="1">
        <v>20000000</v>
      </c>
      <c r="I1091" s="4">
        <v>4</v>
      </c>
      <c r="J1091" s="8">
        <v>6.0185185185185177E-3</v>
      </c>
      <c r="K1091" s="4" t="s">
        <v>18</v>
      </c>
      <c r="L1091" s="4" t="s">
        <v>60</v>
      </c>
      <c r="M1091" s="4" t="s">
        <v>35</v>
      </c>
      <c r="N1091" s="4" t="s">
        <v>27</v>
      </c>
      <c r="O1091" s="4" t="s">
        <v>56</v>
      </c>
    </row>
    <row r="1092" spans="2:15" ht="21" customHeight="1" x14ac:dyDescent="0.3">
      <c r="B1092" s="11" t="s">
        <v>14</v>
      </c>
      <c r="C1092" s="12">
        <v>17</v>
      </c>
      <c r="D1092" s="13" t="s">
        <v>73</v>
      </c>
      <c r="E1092" s="11" t="s">
        <v>34</v>
      </c>
      <c r="F1092" s="11" t="s">
        <v>46</v>
      </c>
      <c r="G1092" s="14">
        <v>5</v>
      </c>
      <c r="H1092" s="15">
        <v>21000000</v>
      </c>
      <c r="I1092" s="11">
        <v>6</v>
      </c>
      <c r="J1092" s="16">
        <v>6.0185185185185177E-3</v>
      </c>
      <c r="K1092" s="11" t="s">
        <v>18</v>
      </c>
      <c r="L1092" s="11" t="s">
        <v>31</v>
      </c>
      <c r="M1092" s="11" t="s">
        <v>35</v>
      </c>
      <c r="N1092" s="11" t="s">
        <v>39</v>
      </c>
      <c r="O1092" s="11" t="s">
        <v>40</v>
      </c>
    </row>
    <row r="1093" spans="2:15" ht="21" customHeight="1" x14ac:dyDescent="0.3">
      <c r="B1093" s="4" t="s">
        <v>14</v>
      </c>
      <c r="C1093" s="5">
        <v>30</v>
      </c>
      <c r="D1093" s="6" t="s">
        <v>23</v>
      </c>
      <c r="E1093" s="4" t="s">
        <v>30</v>
      </c>
      <c r="F1093" s="4" t="s">
        <v>17</v>
      </c>
      <c r="G1093" s="7">
        <v>2</v>
      </c>
      <c r="H1093" s="1">
        <v>38000000</v>
      </c>
      <c r="I1093" s="4">
        <v>2</v>
      </c>
      <c r="J1093" s="8">
        <v>6.0185185185185177E-3</v>
      </c>
      <c r="K1093" s="4" t="s">
        <v>50</v>
      </c>
      <c r="L1093" s="4" t="s">
        <v>60</v>
      </c>
      <c r="M1093" s="4" t="s">
        <v>20</v>
      </c>
      <c r="N1093" s="4" t="s">
        <v>27</v>
      </c>
      <c r="O1093" s="4" t="s">
        <v>33</v>
      </c>
    </row>
    <row r="1094" spans="2:15" ht="21" customHeight="1" x14ac:dyDescent="0.3">
      <c r="B1094" s="11" t="s">
        <v>74</v>
      </c>
      <c r="C1094" s="12">
        <v>5</v>
      </c>
      <c r="D1094" s="13" t="s">
        <v>59</v>
      </c>
      <c r="E1094" s="11" t="s">
        <v>16</v>
      </c>
      <c r="F1094" s="11" t="s">
        <v>49</v>
      </c>
      <c r="G1094" s="14">
        <v>0</v>
      </c>
      <c r="H1094" s="15">
        <v>0</v>
      </c>
      <c r="I1094" s="11">
        <v>4</v>
      </c>
      <c r="J1094" s="16">
        <v>6.0185185185185177E-3</v>
      </c>
      <c r="K1094" s="11"/>
      <c r="L1094" s="11"/>
      <c r="M1094" s="11" t="s">
        <v>52</v>
      </c>
      <c r="N1094" s="11" t="s">
        <v>27</v>
      </c>
      <c r="O1094" s="11" t="s">
        <v>28</v>
      </c>
    </row>
    <row r="1095" spans="2:15" ht="21" customHeight="1" x14ac:dyDescent="0.3">
      <c r="B1095" s="4" t="s">
        <v>74</v>
      </c>
      <c r="C1095" s="5">
        <v>10</v>
      </c>
      <c r="D1095" s="6" t="s">
        <v>76</v>
      </c>
      <c r="E1095" s="4" t="s">
        <v>42</v>
      </c>
      <c r="F1095" s="4" t="s">
        <v>24</v>
      </c>
      <c r="G1095" s="7">
        <v>0</v>
      </c>
      <c r="H1095" s="1">
        <v>0</v>
      </c>
      <c r="I1095" s="4">
        <v>3</v>
      </c>
      <c r="J1095" s="8">
        <v>6.0185185185185177E-3</v>
      </c>
      <c r="K1095" s="4"/>
      <c r="L1095" s="4"/>
      <c r="M1095" s="4" t="s">
        <v>55</v>
      </c>
      <c r="N1095" s="4" t="s">
        <v>39</v>
      </c>
      <c r="O1095" s="4" t="s">
        <v>40</v>
      </c>
    </row>
    <row r="1096" spans="2:15" ht="21" customHeight="1" x14ac:dyDescent="0.3">
      <c r="B1096" s="11" t="s">
        <v>74</v>
      </c>
      <c r="C1096" s="12">
        <v>12</v>
      </c>
      <c r="D1096" s="13" t="s">
        <v>23</v>
      </c>
      <c r="E1096" s="11" t="s">
        <v>42</v>
      </c>
      <c r="F1096" s="11" t="s">
        <v>49</v>
      </c>
      <c r="G1096" s="14">
        <v>0</v>
      </c>
      <c r="H1096" s="15">
        <v>0</v>
      </c>
      <c r="I1096" s="11">
        <v>1</v>
      </c>
      <c r="J1096" s="16">
        <v>6.0185185185185177E-3</v>
      </c>
      <c r="K1096" s="11"/>
      <c r="L1096" s="11"/>
      <c r="M1096" s="11" t="s">
        <v>32</v>
      </c>
      <c r="N1096" s="11" t="s">
        <v>21</v>
      </c>
      <c r="O1096" s="11" t="s">
        <v>70</v>
      </c>
    </row>
    <row r="1097" spans="2:15" ht="21" customHeight="1" x14ac:dyDescent="0.3">
      <c r="B1097" s="4" t="s">
        <v>74</v>
      </c>
      <c r="C1097" s="5">
        <v>30</v>
      </c>
      <c r="D1097" s="6" t="s">
        <v>29</v>
      </c>
      <c r="E1097" s="4" t="s">
        <v>42</v>
      </c>
      <c r="F1097" s="4" t="s">
        <v>24</v>
      </c>
      <c r="G1097" s="7">
        <v>0</v>
      </c>
      <c r="H1097" s="1">
        <v>0</v>
      </c>
      <c r="I1097" s="4">
        <v>2</v>
      </c>
      <c r="J1097" s="8">
        <v>6.0185185185185177E-3</v>
      </c>
      <c r="K1097" s="4"/>
      <c r="L1097" s="4"/>
      <c r="M1097" s="4" t="s">
        <v>55</v>
      </c>
      <c r="N1097" s="4" t="s">
        <v>21</v>
      </c>
      <c r="O1097" s="4" t="s">
        <v>45</v>
      </c>
    </row>
    <row r="1098" spans="2:15" ht="21" customHeight="1" x14ac:dyDescent="0.3">
      <c r="B1098" s="11" t="s">
        <v>74</v>
      </c>
      <c r="C1098" s="12">
        <v>30</v>
      </c>
      <c r="D1098" s="13" t="s">
        <v>73</v>
      </c>
      <c r="E1098" s="11" t="s">
        <v>16</v>
      </c>
      <c r="F1098" s="11" t="s">
        <v>46</v>
      </c>
      <c r="G1098" s="14">
        <v>0</v>
      </c>
      <c r="H1098" s="15">
        <v>0</v>
      </c>
      <c r="I1098" s="11">
        <v>5</v>
      </c>
      <c r="J1098" s="16">
        <v>6.0185185185185177E-3</v>
      </c>
      <c r="K1098" s="11"/>
      <c r="L1098" s="11"/>
      <c r="M1098" s="11" t="s">
        <v>32</v>
      </c>
      <c r="N1098" s="11" t="s">
        <v>36</v>
      </c>
      <c r="O1098" s="11" t="s">
        <v>58</v>
      </c>
    </row>
    <row r="1099" spans="2:15" ht="21" customHeight="1" x14ac:dyDescent="0.3">
      <c r="B1099" s="4" t="s">
        <v>74</v>
      </c>
      <c r="C1099" s="5">
        <v>30</v>
      </c>
      <c r="D1099" s="6" t="s">
        <v>73</v>
      </c>
      <c r="E1099" s="4" t="s">
        <v>53</v>
      </c>
      <c r="F1099" s="4" t="s">
        <v>17</v>
      </c>
      <c r="G1099" s="7">
        <v>0</v>
      </c>
      <c r="H1099" s="1">
        <v>0</v>
      </c>
      <c r="I1099" s="4">
        <v>3</v>
      </c>
      <c r="J1099" s="8">
        <v>6.0185185185185177E-3</v>
      </c>
      <c r="K1099" s="4"/>
      <c r="L1099" s="4"/>
      <c r="M1099" s="4" t="s">
        <v>44</v>
      </c>
      <c r="N1099" s="4" t="s">
        <v>39</v>
      </c>
      <c r="O1099" s="4" t="s">
        <v>71</v>
      </c>
    </row>
    <row r="1100" spans="2:15" ht="21" customHeight="1" x14ac:dyDescent="0.3">
      <c r="B1100" s="11" t="s">
        <v>74</v>
      </c>
      <c r="C1100" s="12">
        <v>5</v>
      </c>
      <c r="D1100" s="13" t="s">
        <v>59</v>
      </c>
      <c r="E1100" s="11" t="s">
        <v>16</v>
      </c>
      <c r="F1100" s="11" t="s">
        <v>49</v>
      </c>
      <c r="G1100" s="14">
        <v>0</v>
      </c>
      <c r="H1100" s="15">
        <v>0</v>
      </c>
      <c r="I1100" s="11">
        <v>4</v>
      </c>
      <c r="J1100" s="16">
        <v>6.0185185185185177E-3</v>
      </c>
      <c r="K1100" s="11"/>
      <c r="L1100" s="11"/>
      <c r="M1100" s="11" t="s">
        <v>52</v>
      </c>
      <c r="N1100" s="11" t="s">
        <v>27</v>
      </c>
      <c r="O1100" s="11" t="s">
        <v>28</v>
      </c>
    </row>
    <row r="1101" spans="2:15" ht="21" customHeight="1" x14ac:dyDescent="0.3">
      <c r="B1101" s="4" t="s">
        <v>74</v>
      </c>
      <c r="C1101" s="5">
        <v>10</v>
      </c>
      <c r="D1101" s="6" t="s">
        <v>76</v>
      </c>
      <c r="E1101" s="4" t="s">
        <v>42</v>
      </c>
      <c r="F1101" s="4" t="s">
        <v>24</v>
      </c>
      <c r="G1101" s="7">
        <v>0</v>
      </c>
      <c r="H1101" s="1">
        <v>0</v>
      </c>
      <c r="I1101" s="4">
        <v>3</v>
      </c>
      <c r="J1101" s="8">
        <v>6.0185185185185177E-3</v>
      </c>
      <c r="K1101" s="4"/>
      <c r="L1101" s="4"/>
      <c r="M1101" s="4" t="s">
        <v>55</v>
      </c>
      <c r="N1101" s="4" t="s">
        <v>39</v>
      </c>
      <c r="O1101" s="4" t="s">
        <v>40</v>
      </c>
    </row>
    <row r="1102" spans="2:15" ht="21" customHeight="1" x14ac:dyDescent="0.3">
      <c r="B1102" s="11" t="s">
        <v>14</v>
      </c>
      <c r="C1102" s="12">
        <v>26</v>
      </c>
      <c r="D1102" s="13" t="s">
        <v>23</v>
      </c>
      <c r="E1102" s="11" t="s">
        <v>30</v>
      </c>
      <c r="F1102" s="11" t="s">
        <v>46</v>
      </c>
      <c r="G1102" s="14">
        <v>3</v>
      </c>
      <c r="H1102" s="15">
        <v>15000000</v>
      </c>
      <c r="I1102" s="11">
        <v>2</v>
      </c>
      <c r="J1102" s="16">
        <v>6.2499999999999995E-3</v>
      </c>
      <c r="K1102" s="11" t="s">
        <v>18</v>
      </c>
      <c r="L1102" s="11" t="s">
        <v>38</v>
      </c>
      <c r="M1102" s="11" t="s">
        <v>20</v>
      </c>
      <c r="N1102" s="11" t="s">
        <v>21</v>
      </c>
      <c r="O1102" s="11" t="s">
        <v>67</v>
      </c>
    </row>
    <row r="1103" spans="2:15" ht="21" customHeight="1" x14ac:dyDescent="0.3">
      <c r="B1103" s="4" t="s">
        <v>14</v>
      </c>
      <c r="C1103" s="5">
        <v>27</v>
      </c>
      <c r="D1103" s="6" t="s">
        <v>29</v>
      </c>
      <c r="E1103" s="4" t="s">
        <v>34</v>
      </c>
      <c r="F1103" s="4" t="s">
        <v>24</v>
      </c>
      <c r="G1103" s="7">
        <v>3</v>
      </c>
      <c r="H1103" s="1">
        <v>15000000</v>
      </c>
      <c r="I1103" s="4">
        <v>4</v>
      </c>
      <c r="J1103" s="8">
        <v>6.2499999999999995E-3</v>
      </c>
      <c r="K1103" s="4" t="s">
        <v>18</v>
      </c>
      <c r="L1103" s="4" t="s">
        <v>60</v>
      </c>
      <c r="M1103" s="4" t="s">
        <v>44</v>
      </c>
      <c r="N1103" s="4" t="s">
        <v>27</v>
      </c>
      <c r="O1103" s="4" t="s">
        <v>33</v>
      </c>
    </row>
    <row r="1104" spans="2:15" ht="21" customHeight="1" x14ac:dyDescent="0.3">
      <c r="B1104" s="11" t="s">
        <v>14</v>
      </c>
      <c r="C1104" s="12">
        <v>30</v>
      </c>
      <c r="D1104" s="13" t="s">
        <v>29</v>
      </c>
      <c r="E1104" s="11" t="s">
        <v>77</v>
      </c>
      <c r="F1104" s="11" t="s">
        <v>49</v>
      </c>
      <c r="G1104" s="14">
        <v>3</v>
      </c>
      <c r="H1104" s="15">
        <v>15000000</v>
      </c>
      <c r="I1104" s="11">
        <v>2</v>
      </c>
      <c r="J1104" s="16">
        <v>6.2499999999999995E-3</v>
      </c>
      <c r="K1104" s="11" t="s">
        <v>18</v>
      </c>
      <c r="L1104" s="11" t="s">
        <v>19</v>
      </c>
      <c r="M1104" s="11" t="s">
        <v>47</v>
      </c>
      <c r="N1104" s="11" t="s">
        <v>36</v>
      </c>
      <c r="O1104" s="11" t="s">
        <v>69</v>
      </c>
    </row>
    <row r="1105" spans="2:15" ht="21" customHeight="1" x14ac:dyDescent="0.3">
      <c r="B1105" s="4" t="s">
        <v>14</v>
      </c>
      <c r="C1105" s="5">
        <v>5</v>
      </c>
      <c r="D1105" s="6" t="s">
        <v>41</v>
      </c>
      <c r="E1105" s="4" t="s">
        <v>34</v>
      </c>
      <c r="F1105" s="4" t="s">
        <v>46</v>
      </c>
      <c r="G1105" s="7">
        <v>1</v>
      </c>
      <c r="H1105" s="1">
        <v>7000000</v>
      </c>
      <c r="I1105" s="4">
        <v>4</v>
      </c>
      <c r="J1105" s="8">
        <v>6.2499999999999995E-3</v>
      </c>
      <c r="K1105" s="4" t="s">
        <v>18</v>
      </c>
      <c r="L1105" s="4" t="s">
        <v>31</v>
      </c>
      <c r="M1105" s="4" t="s">
        <v>32</v>
      </c>
      <c r="N1105" s="4" t="s">
        <v>21</v>
      </c>
      <c r="O1105" s="4" t="s">
        <v>70</v>
      </c>
    </row>
    <row r="1106" spans="2:15" ht="21" customHeight="1" x14ac:dyDescent="0.3">
      <c r="B1106" s="11" t="s">
        <v>14</v>
      </c>
      <c r="C1106" s="12">
        <v>28</v>
      </c>
      <c r="D1106" s="13" t="s">
        <v>41</v>
      </c>
      <c r="E1106" s="11" t="s">
        <v>16</v>
      </c>
      <c r="F1106" s="11" t="s">
        <v>46</v>
      </c>
      <c r="G1106" s="14">
        <v>5</v>
      </c>
      <c r="H1106" s="15">
        <v>20000000</v>
      </c>
      <c r="I1106" s="11">
        <v>2</v>
      </c>
      <c r="J1106" s="16">
        <v>6.2499999999999995E-3</v>
      </c>
      <c r="K1106" s="11" t="s">
        <v>18</v>
      </c>
      <c r="L1106" s="11" t="s">
        <v>60</v>
      </c>
      <c r="M1106" s="11" t="s">
        <v>26</v>
      </c>
      <c r="N1106" s="11" t="s">
        <v>27</v>
      </c>
      <c r="O1106" s="11" t="s">
        <v>56</v>
      </c>
    </row>
    <row r="1107" spans="2:15" ht="21" customHeight="1" x14ac:dyDescent="0.3">
      <c r="B1107" s="4" t="s">
        <v>14</v>
      </c>
      <c r="C1107" s="5">
        <v>7</v>
      </c>
      <c r="D1107" s="6" t="s">
        <v>41</v>
      </c>
      <c r="E1107" s="4" t="s">
        <v>16</v>
      </c>
      <c r="F1107" s="4" t="s">
        <v>46</v>
      </c>
      <c r="G1107" s="7">
        <v>2</v>
      </c>
      <c r="H1107" s="1">
        <v>12000000</v>
      </c>
      <c r="I1107" s="4">
        <v>2</v>
      </c>
      <c r="J1107" s="8">
        <v>6.2499999999999995E-3</v>
      </c>
      <c r="K1107" s="4" t="s">
        <v>18</v>
      </c>
      <c r="L1107" s="4" t="s">
        <v>19</v>
      </c>
      <c r="M1107" s="4" t="s">
        <v>52</v>
      </c>
      <c r="N1107" s="4" t="s">
        <v>21</v>
      </c>
      <c r="O1107" s="4" t="s">
        <v>67</v>
      </c>
    </row>
    <row r="1108" spans="2:15" ht="21" customHeight="1" x14ac:dyDescent="0.3">
      <c r="B1108" s="11" t="s">
        <v>14</v>
      </c>
      <c r="C1108" s="12">
        <v>20</v>
      </c>
      <c r="D1108" s="13" t="s">
        <v>48</v>
      </c>
      <c r="E1108" s="11" t="s">
        <v>16</v>
      </c>
      <c r="F1108" s="11" t="s">
        <v>46</v>
      </c>
      <c r="G1108" s="14">
        <v>4</v>
      </c>
      <c r="H1108" s="15">
        <v>20000000</v>
      </c>
      <c r="I1108" s="11">
        <v>2</v>
      </c>
      <c r="J1108" s="16">
        <v>6.2499999999999995E-3</v>
      </c>
      <c r="K1108" s="11" t="s">
        <v>65</v>
      </c>
      <c r="L1108" s="11" t="s">
        <v>43</v>
      </c>
      <c r="M1108" s="11" t="s">
        <v>55</v>
      </c>
      <c r="N1108" s="11" t="s">
        <v>27</v>
      </c>
      <c r="O1108" s="11" t="s">
        <v>33</v>
      </c>
    </row>
    <row r="1109" spans="2:15" ht="21" customHeight="1" x14ac:dyDescent="0.3">
      <c r="B1109" s="4" t="s">
        <v>14</v>
      </c>
      <c r="C1109" s="5">
        <v>15</v>
      </c>
      <c r="D1109" s="6" t="s">
        <v>48</v>
      </c>
      <c r="E1109" s="4" t="s">
        <v>77</v>
      </c>
      <c r="F1109" s="4" t="s">
        <v>24</v>
      </c>
      <c r="G1109" s="7">
        <v>2</v>
      </c>
      <c r="H1109" s="1">
        <v>12000000</v>
      </c>
      <c r="I1109" s="4">
        <v>3</v>
      </c>
      <c r="J1109" s="8">
        <v>6.2499999999999995E-3</v>
      </c>
      <c r="K1109" s="4" t="s">
        <v>18</v>
      </c>
      <c r="L1109" s="4" t="s">
        <v>68</v>
      </c>
      <c r="M1109" s="4" t="s">
        <v>35</v>
      </c>
      <c r="N1109" s="4" t="s">
        <v>21</v>
      </c>
      <c r="O1109" s="4" t="s">
        <v>70</v>
      </c>
    </row>
    <row r="1110" spans="2:15" ht="21" customHeight="1" x14ac:dyDescent="0.3">
      <c r="B1110" s="11" t="s">
        <v>14</v>
      </c>
      <c r="C1110" s="12">
        <v>18</v>
      </c>
      <c r="D1110" s="13" t="s">
        <v>48</v>
      </c>
      <c r="E1110" s="11" t="s">
        <v>16</v>
      </c>
      <c r="F1110" s="11" t="s">
        <v>24</v>
      </c>
      <c r="G1110" s="14">
        <v>2</v>
      </c>
      <c r="H1110" s="15">
        <v>12000000</v>
      </c>
      <c r="I1110" s="11">
        <v>1</v>
      </c>
      <c r="J1110" s="16">
        <v>6.2499999999999995E-3</v>
      </c>
      <c r="K1110" s="11" t="s">
        <v>18</v>
      </c>
      <c r="L1110" s="11" t="s">
        <v>60</v>
      </c>
      <c r="M1110" s="11" t="s">
        <v>44</v>
      </c>
      <c r="N1110" s="11" t="s">
        <v>27</v>
      </c>
      <c r="O1110" s="11" t="s">
        <v>56</v>
      </c>
    </row>
    <row r="1111" spans="2:15" ht="21" customHeight="1" x14ac:dyDescent="0.3">
      <c r="B1111" s="4" t="s">
        <v>14</v>
      </c>
      <c r="C1111" s="5">
        <v>3</v>
      </c>
      <c r="D1111" s="6" t="s">
        <v>48</v>
      </c>
      <c r="E1111" s="4" t="s">
        <v>42</v>
      </c>
      <c r="F1111" s="4" t="s">
        <v>17</v>
      </c>
      <c r="G1111" s="7">
        <v>4</v>
      </c>
      <c r="H1111" s="1">
        <v>20000000</v>
      </c>
      <c r="I1111" s="4">
        <v>1</v>
      </c>
      <c r="J1111" s="8">
        <v>6.2499999999999995E-3</v>
      </c>
      <c r="K1111" s="4" t="s">
        <v>18</v>
      </c>
      <c r="L1111" s="4" t="s">
        <v>43</v>
      </c>
      <c r="M1111" s="4" t="s">
        <v>47</v>
      </c>
      <c r="N1111" s="4" t="s">
        <v>21</v>
      </c>
      <c r="O1111" s="4" t="s">
        <v>57</v>
      </c>
    </row>
    <row r="1112" spans="2:15" ht="21" customHeight="1" x14ac:dyDescent="0.3">
      <c r="B1112" s="11" t="s">
        <v>74</v>
      </c>
      <c r="C1112" s="12">
        <v>11</v>
      </c>
      <c r="D1112" s="13" t="s">
        <v>62</v>
      </c>
      <c r="E1112" s="11" t="s">
        <v>16</v>
      </c>
      <c r="F1112" s="11" t="s">
        <v>17</v>
      </c>
      <c r="G1112" s="14">
        <v>0</v>
      </c>
      <c r="H1112" s="15">
        <v>0</v>
      </c>
      <c r="I1112" s="11">
        <v>1</v>
      </c>
      <c r="J1112" s="16">
        <v>6.2499999999999995E-3</v>
      </c>
      <c r="K1112" s="11"/>
      <c r="L1112" s="11"/>
      <c r="M1112" s="11" t="s">
        <v>32</v>
      </c>
      <c r="N1112" s="11" t="s">
        <v>27</v>
      </c>
      <c r="O1112" s="11" t="s">
        <v>56</v>
      </c>
    </row>
    <row r="1113" spans="2:15" ht="21" customHeight="1" x14ac:dyDescent="0.3">
      <c r="B1113" s="4" t="s">
        <v>74</v>
      </c>
      <c r="C1113" s="5">
        <v>30</v>
      </c>
      <c r="D1113" s="6" t="s">
        <v>73</v>
      </c>
      <c r="E1113" s="4" t="s">
        <v>42</v>
      </c>
      <c r="F1113" s="4" t="s">
        <v>17</v>
      </c>
      <c r="G1113" s="7">
        <v>0</v>
      </c>
      <c r="H1113" s="1">
        <v>0</v>
      </c>
      <c r="I1113" s="4">
        <v>3</v>
      </c>
      <c r="J1113" s="8">
        <v>6.2499999999999995E-3</v>
      </c>
      <c r="K1113" s="4"/>
      <c r="L1113" s="4"/>
      <c r="M1113" s="4" t="s">
        <v>32</v>
      </c>
      <c r="N1113" s="4" t="s">
        <v>39</v>
      </c>
      <c r="O1113" s="4" t="s">
        <v>71</v>
      </c>
    </row>
    <row r="1114" spans="2:15" ht="21" customHeight="1" x14ac:dyDescent="0.3">
      <c r="B1114" s="11" t="s">
        <v>74</v>
      </c>
      <c r="C1114" s="12">
        <v>27</v>
      </c>
      <c r="D1114" s="13" t="s">
        <v>73</v>
      </c>
      <c r="E1114" s="11" t="s">
        <v>53</v>
      </c>
      <c r="F1114" s="11" t="s">
        <v>46</v>
      </c>
      <c r="G1114" s="14">
        <v>0</v>
      </c>
      <c r="H1114" s="15">
        <v>0</v>
      </c>
      <c r="I1114" s="11">
        <v>1</v>
      </c>
      <c r="J1114" s="16">
        <v>6.2499999999999995E-3</v>
      </c>
      <c r="K1114" s="11"/>
      <c r="L1114" s="11"/>
      <c r="M1114" s="11" t="s">
        <v>52</v>
      </c>
      <c r="N1114" s="11" t="s">
        <v>36</v>
      </c>
      <c r="O1114" s="11" t="s">
        <v>37</v>
      </c>
    </row>
    <row r="1115" spans="2:15" ht="21" customHeight="1" x14ac:dyDescent="0.3">
      <c r="B1115" s="4" t="s">
        <v>74</v>
      </c>
      <c r="C1115" s="5">
        <v>11</v>
      </c>
      <c r="D1115" s="6" t="s">
        <v>62</v>
      </c>
      <c r="E1115" s="4" t="s">
        <v>16</v>
      </c>
      <c r="F1115" s="4" t="s">
        <v>17</v>
      </c>
      <c r="G1115" s="7">
        <v>0</v>
      </c>
      <c r="H1115" s="1">
        <v>0</v>
      </c>
      <c r="I1115" s="4">
        <v>1</v>
      </c>
      <c r="J1115" s="8">
        <v>6.2499999999999995E-3</v>
      </c>
      <c r="K1115" s="4"/>
      <c r="L1115" s="4"/>
      <c r="M1115" s="4" t="s">
        <v>32</v>
      </c>
      <c r="N1115" s="4" t="s">
        <v>27</v>
      </c>
      <c r="O1115" s="4" t="s">
        <v>56</v>
      </c>
    </row>
    <row r="1116" spans="2:15" ht="21" customHeight="1" x14ac:dyDescent="0.3">
      <c r="B1116" s="11" t="s">
        <v>14</v>
      </c>
      <c r="C1116" s="12">
        <v>31</v>
      </c>
      <c r="D1116" s="13" t="s">
        <v>63</v>
      </c>
      <c r="E1116" s="11" t="s">
        <v>53</v>
      </c>
      <c r="F1116" s="11" t="s">
        <v>46</v>
      </c>
      <c r="G1116" s="14">
        <v>2</v>
      </c>
      <c r="H1116" s="15">
        <v>12000000</v>
      </c>
      <c r="I1116" s="11">
        <v>4</v>
      </c>
      <c r="J1116" s="16">
        <v>6.3888888888888884E-3</v>
      </c>
      <c r="K1116" s="11" t="s">
        <v>18</v>
      </c>
      <c r="L1116" s="11" t="s">
        <v>60</v>
      </c>
      <c r="M1116" s="11" t="s">
        <v>32</v>
      </c>
      <c r="N1116" s="11" t="s">
        <v>27</v>
      </c>
      <c r="O1116" s="11" t="s">
        <v>28</v>
      </c>
    </row>
    <row r="1117" spans="2:15" ht="21" customHeight="1" x14ac:dyDescent="0.3">
      <c r="B1117" s="4" t="s">
        <v>14</v>
      </c>
      <c r="C1117" s="5">
        <v>7</v>
      </c>
      <c r="D1117" s="6" t="s">
        <v>29</v>
      </c>
      <c r="E1117" s="4" t="s">
        <v>16</v>
      </c>
      <c r="F1117" s="4" t="s">
        <v>49</v>
      </c>
      <c r="G1117" s="7">
        <v>4</v>
      </c>
      <c r="H1117" s="1">
        <v>11000000</v>
      </c>
      <c r="I1117" s="4">
        <v>5</v>
      </c>
      <c r="J1117" s="8">
        <v>6.3888888888888884E-3</v>
      </c>
      <c r="K1117" s="4" t="s">
        <v>65</v>
      </c>
      <c r="L1117" s="4" t="s">
        <v>43</v>
      </c>
      <c r="M1117" s="4" t="s">
        <v>35</v>
      </c>
      <c r="N1117" s="4" t="s">
        <v>27</v>
      </c>
      <c r="O1117" s="4" t="s">
        <v>56</v>
      </c>
    </row>
    <row r="1118" spans="2:15" ht="21" customHeight="1" x14ac:dyDescent="0.3">
      <c r="B1118" s="11" t="s">
        <v>14</v>
      </c>
      <c r="C1118" s="12">
        <v>21</v>
      </c>
      <c r="D1118" s="13" t="s">
        <v>41</v>
      </c>
      <c r="E1118" s="11" t="s">
        <v>16</v>
      </c>
      <c r="F1118" s="11" t="s">
        <v>72</v>
      </c>
      <c r="G1118" s="14">
        <v>4</v>
      </c>
      <c r="H1118" s="15">
        <v>20000000</v>
      </c>
      <c r="I1118" s="11">
        <v>2</v>
      </c>
      <c r="J1118" s="16">
        <v>6.3888888888888884E-3</v>
      </c>
      <c r="K1118" s="11" t="s">
        <v>18</v>
      </c>
      <c r="L1118" s="11" t="s">
        <v>38</v>
      </c>
      <c r="M1118" s="11" t="s">
        <v>32</v>
      </c>
      <c r="N1118" s="11" t="s">
        <v>27</v>
      </c>
      <c r="O1118" s="11" t="s">
        <v>56</v>
      </c>
    </row>
    <row r="1119" spans="2:15" ht="21" customHeight="1" x14ac:dyDescent="0.3">
      <c r="B1119" s="4" t="s">
        <v>14</v>
      </c>
      <c r="C1119" s="5">
        <v>8</v>
      </c>
      <c r="D1119" s="6" t="s">
        <v>41</v>
      </c>
      <c r="E1119" s="4" t="s">
        <v>16</v>
      </c>
      <c r="F1119" s="4" t="s">
        <v>72</v>
      </c>
      <c r="G1119" s="7">
        <v>3</v>
      </c>
      <c r="H1119" s="1">
        <v>15000000</v>
      </c>
      <c r="I1119" s="4">
        <v>1</v>
      </c>
      <c r="J1119" s="8">
        <v>6.3888888888888884E-3</v>
      </c>
      <c r="K1119" s="4" t="s">
        <v>18</v>
      </c>
      <c r="L1119" s="4" t="s">
        <v>68</v>
      </c>
      <c r="M1119" s="4" t="s">
        <v>44</v>
      </c>
      <c r="N1119" s="4" t="s">
        <v>21</v>
      </c>
      <c r="O1119" s="4" t="s">
        <v>57</v>
      </c>
    </row>
    <row r="1120" spans="2:15" ht="21" customHeight="1" x14ac:dyDescent="0.3">
      <c r="B1120" s="11" t="s">
        <v>14</v>
      </c>
      <c r="C1120" s="12">
        <v>8</v>
      </c>
      <c r="D1120" s="13" t="s">
        <v>41</v>
      </c>
      <c r="E1120" s="11" t="s">
        <v>42</v>
      </c>
      <c r="F1120" s="11" t="s">
        <v>46</v>
      </c>
      <c r="G1120" s="14">
        <v>2</v>
      </c>
      <c r="H1120" s="15">
        <v>12000000</v>
      </c>
      <c r="I1120" s="11">
        <v>4</v>
      </c>
      <c r="J1120" s="16">
        <v>6.3888888888888884E-3</v>
      </c>
      <c r="K1120" s="11" t="s">
        <v>18</v>
      </c>
      <c r="L1120" s="11" t="s">
        <v>43</v>
      </c>
      <c r="M1120" s="11" t="s">
        <v>26</v>
      </c>
      <c r="N1120" s="11" t="s">
        <v>36</v>
      </c>
      <c r="O1120" s="11" t="s">
        <v>58</v>
      </c>
    </row>
    <row r="1121" spans="2:15" ht="21" customHeight="1" x14ac:dyDescent="0.3">
      <c r="B1121" s="4" t="s">
        <v>14</v>
      </c>
      <c r="C1121" s="5">
        <v>22</v>
      </c>
      <c r="D1121" s="6" t="s">
        <v>48</v>
      </c>
      <c r="E1121" s="4" t="s">
        <v>30</v>
      </c>
      <c r="F1121" s="4" t="s">
        <v>17</v>
      </c>
      <c r="G1121" s="7">
        <v>1</v>
      </c>
      <c r="H1121" s="1">
        <v>7000000</v>
      </c>
      <c r="I1121" s="4">
        <v>1</v>
      </c>
      <c r="J1121" s="8">
        <v>6.3888888888888884E-3</v>
      </c>
      <c r="K1121" s="4" t="s">
        <v>18</v>
      </c>
      <c r="L1121" s="4" t="s">
        <v>31</v>
      </c>
      <c r="M1121" s="4" t="s">
        <v>55</v>
      </c>
      <c r="N1121" s="4" t="s">
        <v>39</v>
      </c>
      <c r="O1121" s="4" t="s">
        <v>71</v>
      </c>
    </row>
    <row r="1122" spans="2:15" ht="21" customHeight="1" x14ac:dyDescent="0.3">
      <c r="B1122" s="11" t="s">
        <v>14</v>
      </c>
      <c r="C1122" s="12">
        <v>25</v>
      </c>
      <c r="D1122" s="13" t="s">
        <v>48</v>
      </c>
      <c r="E1122" s="11" t="s">
        <v>16</v>
      </c>
      <c r="F1122" s="11" t="s">
        <v>46</v>
      </c>
      <c r="G1122" s="14">
        <v>3</v>
      </c>
      <c r="H1122" s="15">
        <v>15000000</v>
      </c>
      <c r="I1122" s="11">
        <v>3</v>
      </c>
      <c r="J1122" s="16">
        <v>6.3888888888888884E-3</v>
      </c>
      <c r="K1122" s="11" t="s">
        <v>18</v>
      </c>
      <c r="L1122" s="11" t="s">
        <v>19</v>
      </c>
      <c r="M1122" s="11" t="s">
        <v>32</v>
      </c>
      <c r="N1122" s="11" t="s">
        <v>21</v>
      </c>
      <c r="O1122" s="11" t="s">
        <v>45</v>
      </c>
    </row>
    <row r="1123" spans="2:15" ht="21" customHeight="1" x14ac:dyDescent="0.3">
      <c r="B1123" s="4" t="s">
        <v>14</v>
      </c>
      <c r="C1123" s="5">
        <v>7</v>
      </c>
      <c r="D1123" s="6" t="s">
        <v>48</v>
      </c>
      <c r="E1123" s="4" t="s">
        <v>16</v>
      </c>
      <c r="F1123" s="4" t="s">
        <v>46</v>
      </c>
      <c r="G1123" s="7">
        <v>5</v>
      </c>
      <c r="H1123" s="1">
        <v>25000000</v>
      </c>
      <c r="I1123" s="4">
        <v>3</v>
      </c>
      <c r="J1123" s="8">
        <v>6.3888888888888884E-3</v>
      </c>
      <c r="K1123" s="4" t="s">
        <v>18</v>
      </c>
      <c r="L1123" s="4" t="s">
        <v>25</v>
      </c>
      <c r="M1123" s="4" t="s">
        <v>20</v>
      </c>
      <c r="N1123" s="4" t="s">
        <v>21</v>
      </c>
      <c r="O1123" s="4" t="s">
        <v>66</v>
      </c>
    </row>
    <row r="1124" spans="2:15" ht="21" customHeight="1" x14ac:dyDescent="0.3">
      <c r="B1124" s="11" t="s">
        <v>14</v>
      </c>
      <c r="C1124" s="12">
        <v>1</v>
      </c>
      <c r="D1124" s="13" t="s">
        <v>73</v>
      </c>
      <c r="E1124" s="11" t="s">
        <v>30</v>
      </c>
      <c r="F1124" s="11" t="s">
        <v>49</v>
      </c>
      <c r="G1124" s="14">
        <v>5</v>
      </c>
      <c r="H1124" s="15">
        <v>25000000</v>
      </c>
      <c r="I1124" s="11">
        <v>3</v>
      </c>
      <c r="J1124" s="16">
        <v>6.3888888888888884E-3</v>
      </c>
      <c r="K1124" s="11" t="s">
        <v>18</v>
      </c>
      <c r="L1124" s="11" t="s">
        <v>43</v>
      </c>
      <c r="M1124" s="11" t="s">
        <v>32</v>
      </c>
      <c r="N1124" s="11" t="s">
        <v>36</v>
      </c>
      <c r="O1124" s="11" t="s">
        <v>69</v>
      </c>
    </row>
    <row r="1125" spans="2:15" ht="21" customHeight="1" x14ac:dyDescent="0.3">
      <c r="B1125" s="4" t="s">
        <v>14</v>
      </c>
      <c r="C1125" s="5">
        <v>17</v>
      </c>
      <c r="D1125" s="6" t="s">
        <v>73</v>
      </c>
      <c r="E1125" s="4" t="s">
        <v>16</v>
      </c>
      <c r="F1125" s="4" t="s">
        <v>46</v>
      </c>
      <c r="G1125" s="7">
        <v>2</v>
      </c>
      <c r="H1125" s="1">
        <v>12000000</v>
      </c>
      <c r="I1125" s="4">
        <v>2</v>
      </c>
      <c r="J1125" s="8">
        <v>6.3888888888888884E-3</v>
      </c>
      <c r="K1125" s="4" t="s">
        <v>18</v>
      </c>
      <c r="L1125" s="4" t="s">
        <v>60</v>
      </c>
      <c r="M1125" s="4" t="s">
        <v>47</v>
      </c>
      <c r="N1125" s="4" t="s">
        <v>27</v>
      </c>
      <c r="O1125" s="4" t="s">
        <v>56</v>
      </c>
    </row>
    <row r="1126" spans="2:15" ht="21" customHeight="1" x14ac:dyDescent="0.3">
      <c r="B1126" s="11" t="s">
        <v>14</v>
      </c>
      <c r="C1126" s="12">
        <v>31</v>
      </c>
      <c r="D1126" s="13" t="s">
        <v>63</v>
      </c>
      <c r="E1126" s="11" t="s">
        <v>53</v>
      </c>
      <c r="F1126" s="11" t="s">
        <v>46</v>
      </c>
      <c r="G1126" s="14">
        <v>2</v>
      </c>
      <c r="H1126" s="15">
        <v>12000000</v>
      </c>
      <c r="I1126" s="11">
        <v>4</v>
      </c>
      <c r="J1126" s="16">
        <v>6.3888888888888884E-3</v>
      </c>
      <c r="K1126" s="11" t="s">
        <v>18</v>
      </c>
      <c r="L1126" s="11" t="s">
        <v>60</v>
      </c>
      <c r="M1126" s="11" t="s">
        <v>32</v>
      </c>
      <c r="N1126" s="11" t="s">
        <v>27</v>
      </c>
      <c r="O1126" s="11" t="s">
        <v>28</v>
      </c>
    </row>
    <row r="1127" spans="2:15" ht="21" customHeight="1" x14ac:dyDescent="0.3">
      <c r="B1127" s="4" t="s">
        <v>74</v>
      </c>
      <c r="C1127" s="5">
        <v>12</v>
      </c>
      <c r="D1127" s="6" t="s">
        <v>23</v>
      </c>
      <c r="E1127" s="4" t="s">
        <v>42</v>
      </c>
      <c r="F1127" s="4" t="s">
        <v>24</v>
      </c>
      <c r="G1127" s="7">
        <v>0</v>
      </c>
      <c r="H1127" s="1">
        <v>0</v>
      </c>
      <c r="I1127" s="4">
        <v>3</v>
      </c>
      <c r="J1127" s="8">
        <v>6.3888888888888884E-3</v>
      </c>
      <c r="K1127" s="4"/>
      <c r="L1127" s="4"/>
      <c r="M1127" s="4" t="s">
        <v>52</v>
      </c>
      <c r="N1127" s="4" t="s">
        <v>39</v>
      </c>
      <c r="O1127" s="4" t="s">
        <v>71</v>
      </c>
    </row>
    <row r="1128" spans="2:15" ht="21" customHeight="1" x14ac:dyDescent="0.3">
      <c r="B1128" s="11" t="s">
        <v>74</v>
      </c>
      <c r="C1128" s="12">
        <v>17</v>
      </c>
      <c r="D1128" s="13" t="s">
        <v>48</v>
      </c>
      <c r="E1128" s="11" t="s">
        <v>30</v>
      </c>
      <c r="F1128" s="11" t="s">
        <v>24</v>
      </c>
      <c r="G1128" s="14">
        <v>0</v>
      </c>
      <c r="H1128" s="15">
        <v>0</v>
      </c>
      <c r="I1128" s="11">
        <v>1</v>
      </c>
      <c r="J1128" s="16">
        <v>6.3888888888888884E-3</v>
      </c>
      <c r="K1128" s="11"/>
      <c r="L1128" s="11"/>
      <c r="M1128" s="11" t="s">
        <v>52</v>
      </c>
      <c r="N1128" s="11" t="s">
        <v>36</v>
      </c>
      <c r="O1128" s="11" t="s">
        <v>58</v>
      </c>
    </row>
    <row r="1129" spans="2:15" ht="21" customHeight="1" x14ac:dyDescent="0.3">
      <c r="B1129" s="4" t="s">
        <v>74</v>
      </c>
      <c r="C1129" s="5">
        <v>14</v>
      </c>
      <c r="D1129" s="6" t="s">
        <v>73</v>
      </c>
      <c r="E1129" s="4" t="s">
        <v>30</v>
      </c>
      <c r="F1129" s="4" t="s">
        <v>46</v>
      </c>
      <c r="G1129" s="7">
        <v>0</v>
      </c>
      <c r="H1129" s="1">
        <v>0</v>
      </c>
      <c r="I1129" s="4">
        <v>4</v>
      </c>
      <c r="J1129" s="8">
        <v>6.3888888888888884E-3</v>
      </c>
      <c r="K1129" s="4"/>
      <c r="L1129" s="4"/>
      <c r="M1129" s="4" t="s">
        <v>55</v>
      </c>
      <c r="N1129" s="4" t="s">
        <v>27</v>
      </c>
      <c r="O1129" s="4" t="s">
        <v>33</v>
      </c>
    </row>
    <row r="1130" spans="2:15" ht="21" customHeight="1" x14ac:dyDescent="0.3">
      <c r="B1130" s="11" t="s">
        <v>14</v>
      </c>
      <c r="C1130" s="12">
        <v>11</v>
      </c>
      <c r="D1130" s="13" t="s">
        <v>59</v>
      </c>
      <c r="E1130" s="11" t="s">
        <v>34</v>
      </c>
      <c r="F1130" s="11" t="s">
        <v>24</v>
      </c>
      <c r="G1130" s="14">
        <v>2</v>
      </c>
      <c r="H1130" s="15">
        <v>38000000</v>
      </c>
      <c r="I1130" s="11">
        <v>1</v>
      </c>
      <c r="J1130" s="16">
        <v>6.4236111111111117E-3</v>
      </c>
      <c r="K1130" s="11" t="s">
        <v>50</v>
      </c>
      <c r="L1130" s="11" t="s">
        <v>31</v>
      </c>
      <c r="M1130" s="11" t="s">
        <v>55</v>
      </c>
      <c r="N1130" s="11" t="s">
        <v>39</v>
      </c>
      <c r="O1130" s="11" t="s">
        <v>71</v>
      </c>
    </row>
    <row r="1131" spans="2:15" ht="21" customHeight="1" x14ac:dyDescent="0.3">
      <c r="B1131" s="4" t="s">
        <v>14</v>
      </c>
      <c r="C1131" s="5">
        <v>11</v>
      </c>
      <c r="D1131" s="6" t="s">
        <v>61</v>
      </c>
      <c r="E1131" s="4" t="s">
        <v>16</v>
      </c>
      <c r="F1131" s="4" t="s">
        <v>46</v>
      </c>
      <c r="G1131" s="7">
        <v>5</v>
      </c>
      <c r="H1131" s="1">
        <v>25000000</v>
      </c>
      <c r="I1131" s="4">
        <v>1</v>
      </c>
      <c r="J1131" s="8">
        <v>6.4236111111111117E-3</v>
      </c>
      <c r="K1131" s="4" t="s">
        <v>18</v>
      </c>
      <c r="L1131" s="4" t="s">
        <v>31</v>
      </c>
      <c r="M1131" s="4" t="s">
        <v>55</v>
      </c>
      <c r="N1131" s="4" t="s">
        <v>21</v>
      </c>
      <c r="O1131" s="4" t="s">
        <v>45</v>
      </c>
    </row>
    <row r="1132" spans="2:15" ht="21" customHeight="1" x14ac:dyDescent="0.3">
      <c r="B1132" s="11" t="s">
        <v>14</v>
      </c>
      <c r="C1132" s="12">
        <v>1</v>
      </c>
      <c r="D1132" s="13" t="s">
        <v>64</v>
      </c>
      <c r="E1132" s="11" t="s">
        <v>53</v>
      </c>
      <c r="F1132" s="11" t="s">
        <v>24</v>
      </c>
      <c r="G1132" s="14">
        <v>2</v>
      </c>
      <c r="H1132" s="15">
        <v>12000000</v>
      </c>
      <c r="I1132" s="11">
        <v>1</v>
      </c>
      <c r="J1132" s="16">
        <v>6.4236111111111117E-3</v>
      </c>
      <c r="K1132" s="11" t="s">
        <v>18</v>
      </c>
      <c r="L1132" s="11" t="s">
        <v>31</v>
      </c>
      <c r="M1132" s="11" t="s">
        <v>47</v>
      </c>
      <c r="N1132" s="11" t="s">
        <v>27</v>
      </c>
      <c r="O1132" s="11" t="s">
        <v>56</v>
      </c>
    </row>
    <row r="1133" spans="2:15" ht="21" customHeight="1" x14ac:dyDescent="0.3">
      <c r="B1133" s="4" t="s">
        <v>14</v>
      </c>
      <c r="C1133" s="5">
        <v>29</v>
      </c>
      <c r="D1133" s="6" t="s">
        <v>23</v>
      </c>
      <c r="E1133" s="4" t="s">
        <v>30</v>
      </c>
      <c r="F1133" s="4" t="s">
        <v>17</v>
      </c>
      <c r="G1133" s="7">
        <v>5</v>
      </c>
      <c r="H1133" s="1">
        <v>21000000</v>
      </c>
      <c r="I1133" s="4">
        <v>5</v>
      </c>
      <c r="J1133" s="8">
        <v>6.4236111111111117E-3</v>
      </c>
      <c r="K1133" s="4" t="s">
        <v>18</v>
      </c>
      <c r="L1133" s="4" t="s">
        <v>19</v>
      </c>
      <c r="M1133" s="4" t="s">
        <v>32</v>
      </c>
      <c r="N1133" s="4" t="s">
        <v>36</v>
      </c>
      <c r="O1133" s="4" t="s">
        <v>58</v>
      </c>
    </row>
    <row r="1134" spans="2:15" ht="21" customHeight="1" x14ac:dyDescent="0.3">
      <c r="B1134" s="11" t="s">
        <v>14</v>
      </c>
      <c r="C1134" s="12">
        <v>30</v>
      </c>
      <c r="D1134" s="13" t="s">
        <v>29</v>
      </c>
      <c r="E1134" s="11" t="s">
        <v>34</v>
      </c>
      <c r="F1134" s="11" t="s">
        <v>24</v>
      </c>
      <c r="G1134" s="14">
        <v>2</v>
      </c>
      <c r="H1134" s="15">
        <v>12000000</v>
      </c>
      <c r="I1134" s="11">
        <v>4</v>
      </c>
      <c r="J1134" s="16">
        <v>6.4236111111111117E-3</v>
      </c>
      <c r="K1134" s="11" t="s">
        <v>18</v>
      </c>
      <c r="L1134" s="11" t="s">
        <v>19</v>
      </c>
      <c r="M1134" s="11" t="s">
        <v>35</v>
      </c>
      <c r="N1134" s="11" t="s">
        <v>21</v>
      </c>
      <c r="O1134" s="11" t="s">
        <v>70</v>
      </c>
    </row>
    <row r="1135" spans="2:15" ht="21" customHeight="1" x14ac:dyDescent="0.3">
      <c r="B1135" s="4" t="s">
        <v>14</v>
      </c>
      <c r="C1135" s="5">
        <v>25</v>
      </c>
      <c r="D1135" s="6" t="s">
        <v>41</v>
      </c>
      <c r="E1135" s="4" t="s">
        <v>16</v>
      </c>
      <c r="F1135" s="4" t="s">
        <v>17</v>
      </c>
      <c r="G1135" s="7">
        <v>1</v>
      </c>
      <c r="H1135" s="1">
        <v>19000000</v>
      </c>
      <c r="I1135" s="4">
        <v>3</v>
      </c>
      <c r="J1135" s="8">
        <v>6.4236111111111117E-3</v>
      </c>
      <c r="K1135" s="4" t="s">
        <v>50</v>
      </c>
      <c r="L1135" s="4" t="s">
        <v>25</v>
      </c>
      <c r="M1135" s="4" t="s">
        <v>32</v>
      </c>
      <c r="N1135" s="4" t="s">
        <v>27</v>
      </c>
      <c r="O1135" s="4" t="s">
        <v>28</v>
      </c>
    </row>
    <row r="1136" spans="2:15" ht="21" customHeight="1" x14ac:dyDescent="0.3">
      <c r="B1136" s="11" t="s">
        <v>14</v>
      </c>
      <c r="C1136" s="12">
        <v>10</v>
      </c>
      <c r="D1136" s="13" t="s">
        <v>41</v>
      </c>
      <c r="E1136" s="11" t="s">
        <v>16</v>
      </c>
      <c r="F1136" s="11" t="s">
        <v>17</v>
      </c>
      <c r="G1136" s="14">
        <v>4</v>
      </c>
      <c r="H1136" s="15">
        <v>11000000</v>
      </c>
      <c r="I1136" s="11">
        <v>5</v>
      </c>
      <c r="J1136" s="16">
        <v>6.4236111111111117E-3</v>
      </c>
      <c r="K1136" s="11" t="s">
        <v>65</v>
      </c>
      <c r="L1136" s="11" t="s">
        <v>31</v>
      </c>
      <c r="M1136" s="11" t="s">
        <v>52</v>
      </c>
      <c r="N1136" s="11" t="s">
        <v>27</v>
      </c>
      <c r="O1136" s="11" t="s">
        <v>28</v>
      </c>
    </row>
    <row r="1137" spans="2:15" ht="21" customHeight="1" x14ac:dyDescent="0.3">
      <c r="B1137" s="4" t="s">
        <v>14</v>
      </c>
      <c r="C1137" s="5">
        <v>28</v>
      </c>
      <c r="D1137" s="6" t="s">
        <v>41</v>
      </c>
      <c r="E1137" s="4" t="s">
        <v>53</v>
      </c>
      <c r="F1137" s="4" t="s">
        <v>46</v>
      </c>
      <c r="G1137" s="7">
        <v>1</v>
      </c>
      <c r="H1137" s="1">
        <v>7000000</v>
      </c>
      <c r="I1137" s="4">
        <v>1</v>
      </c>
      <c r="J1137" s="8">
        <v>6.4236111111111117E-3</v>
      </c>
      <c r="K1137" s="4" t="s">
        <v>18</v>
      </c>
      <c r="L1137" s="4" t="s">
        <v>60</v>
      </c>
      <c r="M1137" s="4" t="s">
        <v>44</v>
      </c>
      <c r="N1137" s="4" t="s">
        <v>21</v>
      </c>
      <c r="O1137" s="4" t="s">
        <v>70</v>
      </c>
    </row>
    <row r="1138" spans="2:15" ht="21" customHeight="1" x14ac:dyDescent="0.3">
      <c r="B1138" s="11" t="s">
        <v>14</v>
      </c>
      <c r="C1138" s="12">
        <v>13</v>
      </c>
      <c r="D1138" s="13" t="s">
        <v>48</v>
      </c>
      <c r="E1138" s="11" t="s">
        <v>42</v>
      </c>
      <c r="F1138" s="11" t="s">
        <v>24</v>
      </c>
      <c r="G1138" s="14">
        <v>4</v>
      </c>
      <c r="H1138" s="15">
        <v>20000000</v>
      </c>
      <c r="I1138" s="11">
        <v>5</v>
      </c>
      <c r="J1138" s="16">
        <v>6.4236111111111117E-3</v>
      </c>
      <c r="K1138" s="11" t="s">
        <v>18</v>
      </c>
      <c r="L1138" s="11" t="s">
        <v>25</v>
      </c>
      <c r="M1138" s="11" t="s">
        <v>32</v>
      </c>
      <c r="N1138" s="11" t="s">
        <v>27</v>
      </c>
      <c r="O1138" s="11" t="s">
        <v>33</v>
      </c>
    </row>
    <row r="1139" spans="2:15" ht="21" customHeight="1" x14ac:dyDescent="0.3">
      <c r="B1139" s="4" t="s">
        <v>14</v>
      </c>
      <c r="C1139" s="5">
        <v>3</v>
      </c>
      <c r="D1139" s="6" t="s">
        <v>48</v>
      </c>
      <c r="E1139" s="4" t="s">
        <v>16</v>
      </c>
      <c r="F1139" s="4" t="s">
        <v>46</v>
      </c>
      <c r="G1139" s="7">
        <v>3</v>
      </c>
      <c r="H1139" s="1">
        <v>15000000</v>
      </c>
      <c r="I1139" s="4">
        <v>2</v>
      </c>
      <c r="J1139" s="8">
        <v>6.4236111111111117E-3</v>
      </c>
      <c r="K1139" s="4" t="s">
        <v>18</v>
      </c>
      <c r="L1139" s="4" t="s">
        <v>60</v>
      </c>
      <c r="M1139" s="4" t="s">
        <v>26</v>
      </c>
      <c r="N1139" s="4" t="s">
        <v>36</v>
      </c>
      <c r="O1139" s="4" t="s">
        <v>58</v>
      </c>
    </row>
    <row r="1140" spans="2:15" ht="21" customHeight="1" x14ac:dyDescent="0.3">
      <c r="B1140" s="11" t="s">
        <v>14</v>
      </c>
      <c r="C1140" s="12">
        <v>11</v>
      </c>
      <c r="D1140" s="13" t="s">
        <v>59</v>
      </c>
      <c r="E1140" s="11" t="s">
        <v>34</v>
      </c>
      <c r="F1140" s="11" t="s">
        <v>24</v>
      </c>
      <c r="G1140" s="14">
        <v>2</v>
      </c>
      <c r="H1140" s="15">
        <v>38000000</v>
      </c>
      <c r="I1140" s="11">
        <v>1</v>
      </c>
      <c r="J1140" s="16">
        <v>6.4236111111111117E-3</v>
      </c>
      <c r="K1140" s="11" t="s">
        <v>50</v>
      </c>
      <c r="L1140" s="11" t="s">
        <v>31</v>
      </c>
      <c r="M1140" s="11" t="s">
        <v>55</v>
      </c>
      <c r="N1140" s="11" t="s">
        <v>39</v>
      </c>
      <c r="O1140" s="11" t="s">
        <v>71</v>
      </c>
    </row>
    <row r="1141" spans="2:15" ht="21" customHeight="1" x14ac:dyDescent="0.3">
      <c r="B1141" s="4" t="s">
        <v>14</v>
      </c>
      <c r="C1141" s="5">
        <v>11</v>
      </c>
      <c r="D1141" s="6" t="s">
        <v>61</v>
      </c>
      <c r="E1141" s="4" t="s">
        <v>16</v>
      </c>
      <c r="F1141" s="4" t="s">
        <v>46</v>
      </c>
      <c r="G1141" s="7">
        <v>5</v>
      </c>
      <c r="H1141" s="1">
        <v>25000000</v>
      </c>
      <c r="I1141" s="4">
        <v>1</v>
      </c>
      <c r="J1141" s="8">
        <v>6.4236111111111117E-3</v>
      </c>
      <c r="K1141" s="4" t="s">
        <v>18</v>
      </c>
      <c r="L1141" s="4" t="s">
        <v>31</v>
      </c>
      <c r="M1141" s="4" t="s">
        <v>55</v>
      </c>
      <c r="N1141" s="4" t="s">
        <v>21</v>
      </c>
      <c r="O1141" s="4" t="s">
        <v>45</v>
      </c>
    </row>
    <row r="1142" spans="2:15" ht="21" customHeight="1" x14ac:dyDescent="0.3">
      <c r="B1142" s="11" t="s">
        <v>14</v>
      </c>
      <c r="C1142" s="12">
        <v>1</v>
      </c>
      <c r="D1142" s="13" t="s">
        <v>64</v>
      </c>
      <c r="E1142" s="11" t="s">
        <v>53</v>
      </c>
      <c r="F1142" s="11" t="s">
        <v>24</v>
      </c>
      <c r="G1142" s="14">
        <v>2</v>
      </c>
      <c r="H1142" s="15">
        <v>12000000</v>
      </c>
      <c r="I1142" s="11">
        <v>1</v>
      </c>
      <c r="J1142" s="16">
        <v>6.4236111111111117E-3</v>
      </c>
      <c r="K1142" s="11" t="s">
        <v>18</v>
      </c>
      <c r="L1142" s="11" t="s">
        <v>31</v>
      </c>
      <c r="M1142" s="11" t="s">
        <v>47</v>
      </c>
      <c r="N1142" s="11" t="s">
        <v>27</v>
      </c>
      <c r="O1142" s="11" t="s">
        <v>56</v>
      </c>
    </row>
    <row r="1143" spans="2:15" ht="21" customHeight="1" x14ac:dyDescent="0.3">
      <c r="B1143" s="4" t="s">
        <v>14</v>
      </c>
      <c r="C1143" s="5">
        <v>29</v>
      </c>
      <c r="D1143" s="6" t="s">
        <v>23</v>
      </c>
      <c r="E1143" s="4" t="s">
        <v>30</v>
      </c>
      <c r="F1143" s="4" t="s">
        <v>17</v>
      </c>
      <c r="G1143" s="7">
        <v>5</v>
      </c>
      <c r="H1143" s="1">
        <v>21000000</v>
      </c>
      <c r="I1143" s="4">
        <v>5</v>
      </c>
      <c r="J1143" s="8">
        <v>6.4236111111111117E-3</v>
      </c>
      <c r="K1143" s="4" t="s">
        <v>18</v>
      </c>
      <c r="L1143" s="4" t="s">
        <v>19</v>
      </c>
      <c r="M1143" s="4" t="s">
        <v>32</v>
      </c>
      <c r="N1143" s="4" t="s">
        <v>36</v>
      </c>
      <c r="O1143" s="4" t="s">
        <v>58</v>
      </c>
    </row>
    <row r="1144" spans="2:15" ht="21" customHeight="1" x14ac:dyDescent="0.3">
      <c r="B1144" s="11" t="s">
        <v>74</v>
      </c>
      <c r="C1144" s="12">
        <v>13</v>
      </c>
      <c r="D1144" s="13" t="s">
        <v>59</v>
      </c>
      <c r="E1144" s="11" t="s">
        <v>16</v>
      </c>
      <c r="F1144" s="11" t="s">
        <v>49</v>
      </c>
      <c r="G1144" s="14">
        <v>0</v>
      </c>
      <c r="H1144" s="15">
        <v>0</v>
      </c>
      <c r="I1144" s="11">
        <v>2</v>
      </c>
      <c r="J1144" s="16">
        <v>6.4236111111111117E-3</v>
      </c>
      <c r="K1144" s="11"/>
      <c r="L1144" s="11"/>
      <c r="M1144" s="11" t="s">
        <v>47</v>
      </c>
      <c r="N1144" s="11" t="s">
        <v>39</v>
      </c>
      <c r="O1144" s="11" t="s">
        <v>71</v>
      </c>
    </row>
    <row r="1145" spans="2:15" ht="21" customHeight="1" x14ac:dyDescent="0.3">
      <c r="B1145" s="4" t="s">
        <v>74</v>
      </c>
      <c r="C1145" s="5">
        <v>29</v>
      </c>
      <c r="D1145" s="6" t="s">
        <v>29</v>
      </c>
      <c r="E1145" s="4" t="s">
        <v>30</v>
      </c>
      <c r="F1145" s="4" t="s">
        <v>24</v>
      </c>
      <c r="G1145" s="7">
        <v>0</v>
      </c>
      <c r="H1145" s="1">
        <v>0</v>
      </c>
      <c r="I1145" s="4">
        <v>2</v>
      </c>
      <c r="J1145" s="8">
        <v>6.4236111111111117E-3</v>
      </c>
      <c r="K1145" s="4"/>
      <c r="L1145" s="4"/>
      <c r="M1145" s="4" t="s">
        <v>47</v>
      </c>
      <c r="N1145" s="4" t="s">
        <v>27</v>
      </c>
      <c r="O1145" s="4" t="s">
        <v>28</v>
      </c>
    </row>
    <row r="1146" spans="2:15" ht="21" customHeight="1" x14ac:dyDescent="0.3">
      <c r="B1146" s="11" t="s">
        <v>74</v>
      </c>
      <c r="C1146" s="12">
        <v>30</v>
      </c>
      <c r="D1146" s="13" t="s">
        <v>73</v>
      </c>
      <c r="E1146" s="11" t="s">
        <v>30</v>
      </c>
      <c r="F1146" s="11" t="s">
        <v>46</v>
      </c>
      <c r="G1146" s="14">
        <v>0</v>
      </c>
      <c r="H1146" s="15">
        <v>0</v>
      </c>
      <c r="I1146" s="11">
        <v>4</v>
      </c>
      <c r="J1146" s="16">
        <v>6.4236111111111117E-3</v>
      </c>
      <c r="K1146" s="11"/>
      <c r="L1146" s="11"/>
      <c r="M1146" s="11" t="s">
        <v>32</v>
      </c>
      <c r="N1146" s="11" t="s">
        <v>36</v>
      </c>
      <c r="O1146" s="11" t="s">
        <v>69</v>
      </c>
    </row>
    <row r="1147" spans="2:15" ht="21" customHeight="1" x14ac:dyDescent="0.3">
      <c r="B1147" s="4" t="s">
        <v>74</v>
      </c>
      <c r="C1147" s="5">
        <v>13</v>
      </c>
      <c r="D1147" s="6" t="s">
        <v>59</v>
      </c>
      <c r="E1147" s="4" t="s">
        <v>16</v>
      </c>
      <c r="F1147" s="4" t="s">
        <v>49</v>
      </c>
      <c r="G1147" s="7">
        <v>0</v>
      </c>
      <c r="H1147" s="1">
        <v>0</v>
      </c>
      <c r="I1147" s="4">
        <v>2</v>
      </c>
      <c r="J1147" s="8">
        <v>6.4236111111111117E-3</v>
      </c>
      <c r="K1147" s="4"/>
      <c r="L1147" s="4"/>
      <c r="M1147" s="4" t="s">
        <v>47</v>
      </c>
      <c r="N1147" s="4" t="s">
        <v>39</v>
      </c>
      <c r="O1147" s="4" t="s">
        <v>71</v>
      </c>
    </row>
    <row r="1148" spans="2:15" ht="21" customHeight="1" x14ac:dyDescent="0.3">
      <c r="B1148" s="11" t="s">
        <v>14</v>
      </c>
      <c r="C1148" s="12">
        <v>12</v>
      </c>
      <c r="D1148" s="13" t="s">
        <v>59</v>
      </c>
      <c r="E1148" s="11" t="s">
        <v>34</v>
      </c>
      <c r="F1148" s="11" t="s">
        <v>46</v>
      </c>
      <c r="G1148" s="14">
        <v>2</v>
      </c>
      <c r="H1148" s="15">
        <v>12000000</v>
      </c>
      <c r="I1148" s="11">
        <v>3</v>
      </c>
      <c r="J1148" s="16">
        <v>6.6666666666666671E-3</v>
      </c>
      <c r="K1148" s="11" t="s">
        <v>18</v>
      </c>
      <c r="L1148" s="11" t="s">
        <v>19</v>
      </c>
      <c r="M1148" s="11" t="s">
        <v>32</v>
      </c>
      <c r="N1148" s="11" t="s">
        <v>36</v>
      </c>
      <c r="O1148" s="11" t="s">
        <v>58</v>
      </c>
    </row>
    <row r="1149" spans="2:15" ht="21" customHeight="1" x14ac:dyDescent="0.3">
      <c r="B1149" s="4" t="s">
        <v>14</v>
      </c>
      <c r="C1149" s="5">
        <v>1</v>
      </c>
      <c r="D1149" s="6" t="s">
        <v>76</v>
      </c>
      <c r="E1149" s="4" t="s">
        <v>30</v>
      </c>
      <c r="F1149" s="4" t="s">
        <v>46</v>
      </c>
      <c r="G1149" s="7">
        <v>5</v>
      </c>
      <c r="H1149" s="1">
        <v>25000000</v>
      </c>
      <c r="I1149" s="4">
        <v>1</v>
      </c>
      <c r="J1149" s="8">
        <v>6.6666666666666671E-3</v>
      </c>
      <c r="K1149" s="4" t="s">
        <v>18</v>
      </c>
      <c r="L1149" s="4" t="s">
        <v>31</v>
      </c>
      <c r="M1149" s="4" t="s">
        <v>47</v>
      </c>
      <c r="N1149" s="4" t="s">
        <v>27</v>
      </c>
      <c r="O1149" s="4" t="s">
        <v>33</v>
      </c>
    </row>
    <row r="1150" spans="2:15" ht="21" customHeight="1" x14ac:dyDescent="0.3">
      <c r="B1150" s="11" t="s">
        <v>14</v>
      </c>
      <c r="C1150" s="12">
        <v>11</v>
      </c>
      <c r="D1150" s="13" t="s">
        <v>29</v>
      </c>
      <c r="E1150" s="11" t="s">
        <v>53</v>
      </c>
      <c r="F1150" s="11" t="s">
        <v>72</v>
      </c>
      <c r="G1150" s="14">
        <v>1</v>
      </c>
      <c r="H1150" s="15">
        <v>7000000</v>
      </c>
      <c r="I1150" s="11">
        <v>2</v>
      </c>
      <c r="J1150" s="16">
        <v>6.6666666666666671E-3</v>
      </c>
      <c r="K1150" s="11" t="s">
        <v>18</v>
      </c>
      <c r="L1150" s="11" t="s">
        <v>60</v>
      </c>
      <c r="M1150" s="11" t="s">
        <v>55</v>
      </c>
      <c r="N1150" s="11" t="s">
        <v>39</v>
      </c>
      <c r="O1150" s="11" t="s">
        <v>71</v>
      </c>
    </row>
    <row r="1151" spans="2:15" ht="21" customHeight="1" x14ac:dyDescent="0.3">
      <c r="B1151" s="4" t="s">
        <v>14</v>
      </c>
      <c r="C1151" s="5">
        <v>12</v>
      </c>
      <c r="D1151" s="6" t="s">
        <v>41</v>
      </c>
      <c r="E1151" s="4" t="s">
        <v>16</v>
      </c>
      <c r="F1151" s="4" t="s">
        <v>46</v>
      </c>
      <c r="G1151" s="7">
        <v>2</v>
      </c>
      <c r="H1151" s="1">
        <v>38000000</v>
      </c>
      <c r="I1151" s="4">
        <v>3</v>
      </c>
      <c r="J1151" s="8">
        <v>6.6666666666666671E-3</v>
      </c>
      <c r="K1151" s="4" t="s">
        <v>50</v>
      </c>
      <c r="L1151" s="4" t="s">
        <v>60</v>
      </c>
      <c r="M1151" s="4" t="s">
        <v>52</v>
      </c>
      <c r="N1151" s="4" t="s">
        <v>27</v>
      </c>
      <c r="O1151" s="4" t="s">
        <v>56</v>
      </c>
    </row>
    <row r="1152" spans="2:15" ht="21" customHeight="1" x14ac:dyDescent="0.3">
      <c r="B1152" s="11" t="s">
        <v>14</v>
      </c>
      <c r="C1152" s="12">
        <v>28</v>
      </c>
      <c r="D1152" s="13" t="s">
        <v>41</v>
      </c>
      <c r="E1152" s="11" t="s">
        <v>53</v>
      </c>
      <c r="F1152" s="11" t="s">
        <v>17</v>
      </c>
      <c r="G1152" s="14">
        <v>3</v>
      </c>
      <c r="H1152" s="15">
        <v>15000000</v>
      </c>
      <c r="I1152" s="11">
        <v>1</v>
      </c>
      <c r="J1152" s="16">
        <v>6.6666666666666671E-3</v>
      </c>
      <c r="K1152" s="11" t="s">
        <v>18</v>
      </c>
      <c r="L1152" s="11" t="s">
        <v>25</v>
      </c>
      <c r="M1152" s="11" t="s">
        <v>35</v>
      </c>
      <c r="N1152" s="11" t="s">
        <v>21</v>
      </c>
      <c r="O1152" s="11" t="s">
        <v>45</v>
      </c>
    </row>
    <row r="1153" spans="2:15" ht="21" customHeight="1" x14ac:dyDescent="0.3">
      <c r="B1153" s="4" t="s">
        <v>14</v>
      </c>
      <c r="C1153" s="5">
        <v>8</v>
      </c>
      <c r="D1153" s="6" t="s">
        <v>41</v>
      </c>
      <c r="E1153" s="4" t="s">
        <v>34</v>
      </c>
      <c r="F1153" s="4" t="s">
        <v>49</v>
      </c>
      <c r="G1153" s="7">
        <v>2</v>
      </c>
      <c r="H1153" s="1">
        <v>12000000</v>
      </c>
      <c r="I1153" s="4">
        <v>4</v>
      </c>
      <c r="J1153" s="8">
        <v>6.6666666666666671E-3</v>
      </c>
      <c r="K1153" s="4" t="s">
        <v>18</v>
      </c>
      <c r="L1153" s="4" t="s">
        <v>31</v>
      </c>
      <c r="M1153" s="4" t="s">
        <v>55</v>
      </c>
      <c r="N1153" s="4" t="s">
        <v>27</v>
      </c>
      <c r="O1153" s="4" t="s">
        <v>33</v>
      </c>
    </row>
    <row r="1154" spans="2:15" ht="21" customHeight="1" x14ac:dyDescent="0.3">
      <c r="B1154" s="11" t="s">
        <v>14</v>
      </c>
      <c r="C1154" s="12">
        <v>11</v>
      </c>
      <c r="D1154" s="13" t="s">
        <v>48</v>
      </c>
      <c r="E1154" s="11" t="s">
        <v>30</v>
      </c>
      <c r="F1154" s="11" t="s">
        <v>17</v>
      </c>
      <c r="G1154" s="14">
        <v>2</v>
      </c>
      <c r="H1154" s="15">
        <v>12000000</v>
      </c>
      <c r="I1154" s="11">
        <v>1</v>
      </c>
      <c r="J1154" s="16">
        <v>6.6666666666666671E-3</v>
      </c>
      <c r="K1154" s="11" t="s">
        <v>18</v>
      </c>
      <c r="L1154" s="11" t="s">
        <v>43</v>
      </c>
      <c r="M1154" s="11" t="s">
        <v>47</v>
      </c>
      <c r="N1154" s="11" t="s">
        <v>27</v>
      </c>
      <c r="O1154" s="11" t="s">
        <v>28</v>
      </c>
    </row>
    <row r="1155" spans="2:15" ht="21" customHeight="1" x14ac:dyDescent="0.3">
      <c r="B1155" s="4" t="s">
        <v>14</v>
      </c>
      <c r="C1155" s="5">
        <v>22</v>
      </c>
      <c r="D1155" s="6" t="s">
        <v>48</v>
      </c>
      <c r="E1155" s="4" t="s">
        <v>34</v>
      </c>
      <c r="F1155" s="4" t="s">
        <v>17</v>
      </c>
      <c r="G1155" s="7">
        <v>4</v>
      </c>
      <c r="H1155" s="1">
        <v>20000000</v>
      </c>
      <c r="I1155" s="4">
        <v>4</v>
      </c>
      <c r="J1155" s="8">
        <v>6.6666666666666671E-3</v>
      </c>
      <c r="K1155" s="4" t="s">
        <v>18</v>
      </c>
      <c r="L1155" s="4" t="s">
        <v>19</v>
      </c>
      <c r="M1155" s="4" t="s">
        <v>44</v>
      </c>
      <c r="N1155" s="4" t="s">
        <v>21</v>
      </c>
      <c r="O1155" s="4" t="s">
        <v>45</v>
      </c>
    </row>
    <row r="1156" spans="2:15" ht="21" customHeight="1" x14ac:dyDescent="0.3">
      <c r="B1156" s="11" t="s">
        <v>14</v>
      </c>
      <c r="C1156" s="12">
        <v>12</v>
      </c>
      <c r="D1156" s="13" t="s">
        <v>59</v>
      </c>
      <c r="E1156" s="11" t="s">
        <v>34</v>
      </c>
      <c r="F1156" s="11" t="s">
        <v>46</v>
      </c>
      <c r="G1156" s="14">
        <v>2</v>
      </c>
      <c r="H1156" s="15">
        <v>12000000</v>
      </c>
      <c r="I1156" s="11">
        <v>3</v>
      </c>
      <c r="J1156" s="16">
        <v>6.6666666666666671E-3</v>
      </c>
      <c r="K1156" s="11" t="s">
        <v>18</v>
      </c>
      <c r="L1156" s="11" t="s">
        <v>19</v>
      </c>
      <c r="M1156" s="11" t="s">
        <v>32</v>
      </c>
      <c r="N1156" s="11" t="s">
        <v>36</v>
      </c>
      <c r="O1156" s="11" t="s">
        <v>58</v>
      </c>
    </row>
    <row r="1157" spans="2:15" ht="21" customHeight="1" x14ac:dyDescent="0.3">
      <c r="B1157" s="4" t="s">
        <v>14</v>
      </c>
      <c r="C1157" s="5">
        <v>1</v>
      </c>
      <c r="D1157" s="6" t="s">
        <v>76</v>
      </c>
      <c r="E1157" s="4" t="s">
        <v>30</v>
      </c>
      <c r="F1157" s="4" t="s">
        <v>46</v>
      </c>
      <c r="G1157" s="7">
        <v>5</v>
      </c>
      <c r="H1157" s="1">
        <v>25000000</v>
      </c>
      <c r="I1157" s="4">
        <v>1</v>
      </c>
      <c r="J1157" s="8">
        <v>6.6666666666666671E-3</v>
      </c>
      <c r="K1157" s="4" t="s">
        <v>18</v>
      </c>
      <c r="L1157" s="4" t="s">
        <v>31</v>
      </c>
      <c r="M1157" s="4" t="s">
        <v>47</v>
      </c>
      <c r="N1157" s="4" t="s">
        <v>27</v>
      </c>
      <c r="O1157" s="4" t="s">
        <v>33</v>
      </c>
    </row>
    <row r="1158" spans="2:15" ht="21" customHeight="1" x14ac:dyDescent="0.3">
      <c r="B1158" s="11" t="s">
        <v>74</v>
      </c>
      <c r="C1158" s="12">
        <v>27</v>
      </c>
      <c r="D1158" s="13" t="s">
        <v>29</v>
      </c>
      <c r="E1158" s="11" t="s">
        <v>16</v>
      </c>
      <c r="F1158" s="11" t="s">
        <v>17</v>
      </c>
      <c r="G1158" s="14">
        <v>0</v>
      </c>
      <c r="H1158" s="15">
        <v>0</v>
      </c>
      <c r="I1158" s="11">
        <v>1</v>
      </c>
      <c r="J1158" s="16">
        <v>6.6666666666666671E-3</v>
      </c>
      <c r="K1158" s="11"/>
      <c r="L1158" s="11"/>
      <c r="M1158" s="11" t="s">
        <v>35</v>
      </c>
      <c r="N1158" s="11" t="s">
        <v>36</v>
      </c>
      <c r="O1158" s="11" t="s">
        <v>69</v>
      </c>
    </row>
    <row r="1159" spans="2:15" ht="21" customHeight="1" x14ac:dyDescent="0.3">
      <c r="B1159" s="4" t="s">
        <v>74</v>
      </c>
      <c r="C1159" s="5">
        <v>3</v>
      </c>
      <c r="D1159" s="6" t="s">
        <v>41</v>
      </c>
      <c r="E1159" s="4" t="s">
        <v>16</v>
      </c>
      <c r="F1159" s="4" t="s">
        <v>46</v>
      </c>
      <c r="G1159" s="7">
        <v>0</v>
      </c>
      <c r="H1159" s="1">
        <v>0</v>
      </c>
      <c r="I1159" s="4">
        <v>1</v>
      </c>
      <c r="J1159" s="8">
        <v>6.6666666666666671E-3</v>
      </c>
      <c r="K1159" s="4"/>
      <c r="L1159" s="4"/>
      <c r="M1159" s="4" t="s">
        <v>32</v>
      </c>
      <c r="N1159" s="4" t="s">
        <v>21</v>
      </c>
      <c r="O1159" s="4" t="s">
        <v>66</v>
      </c>
    </row>
    <row r="1160" spans="2:15" ht="21" customHeight="1" x14ac:dyDescent="0.3">
      <c r="B1160" s="11" t="s">
        <v>74</v>
      </c>
      <c r="C1160" s="12">
        <v>11</v>
      </c>
      <c r="D1160" s="13" t="s">
        <v>48</v>
      </c>
      <c r="E1160" s="11" t="s">
        <v>16</v>
      </c>
      <c r="F1160" s="11" t="s">
        <v>17</v>
      </c>
      <c r="G1160" s="14">
        <v>0</v>
      </c>
      <c r="H1160" s="15">
        <v>0</v>
      </c>
      <c r="I1160" s="11">
        <v>3</v>
      </c>
      <c r="J1160" s="16">
        <v>6.6666666666666671E-3</v>
      </c>
      <c r="K1160" s="11"/>
      <c r="L1160" s="11"/>
      <c r="M1160" s="11" t="s">
        <v>44</v>
      </c>
      <c r="N1160" s="11" t="s">
        <v>21</v>
      </c>
      <c r="O1160" s="11" t="s">
        <v>45</v>
      </c>
    </row>
    <row r="1161" spans="2:15" ht="21" customHeight="1" x14ac:dyDescent="0.3">
      <c r="B1161" s="4" t="s">
        <v>74</v>
      </c>
      <c r="C1161" s="5">
        <v>10</v>
      </c>
      <c r="D1161" s="6" t="s">
        <v>48</v>
      </c>
      <c r="E1161" s="4" t="s">
        <v>34</v>
      </c>
      <c r="F1161" s="4" t="s">
        <v>24</v>
      </c>
      <c r="G1161" s="7">
        <v>0</v>
      </c>
      <c r="H1161" s="1">
        <v>0</v>
      </c>
      <c r="I1161" s="4">
        <v>5</v>
      </c>
      <c r="J1161" s="8">
        <v>6.6666666666666671E-3</v>
      </c>
      <c r="K1161" s="4"/>
      <c r="L1161" s="4"/>
      <c r="M1161" s="4" t="s">
        <v>55</v>
      </c>
      <c r="N1161" s="4" t="s">
        <v>21</v>
      </c>
      <c r="O1161" s="4" t="s">
        <v>67</v>
      </c>
    </row>
    <row r="1162" spans="2:15" ht="21" customHeight="1" x14ac:dyDescent="0.3">
      <c r="B1162" s="11" t="s">
        <v>14</v>
      </c>
      <c r="C1162" s="12">
        <v>12</v>
      </c>
      <c r="D1162" s="13" t="s">
        <v>64</v>
      </c>
      <c r="E1162" s="11" t="s">
        <v>30</v>
      </c>
      <c r="F1162" s="11" t="s">
        <v>46</v>
      </c>
      <c r="G1162" s="14">
        <v>3</v>
      </c>
      <c r="H1162" s="15">
        <v>15000000</v>
      </c>
      <c r="I1162" s="11">
        <v>3</v>
      </c>
      <c r="J1162" s="16">
        <v>7.0601851851851841E-3</v>
      </c>
      <c r="K1162" s="11" t="s">
        <v>18</v>
      </c>
      <c r="L1162" s="11" t="s">
        <v>68</v>
      </c>
      <c r="M1162" s="11" t="s">
        <v>52</v>
      </c>
      <c r="N1162" s="11" t="s">
        <v>36</v>
      </c>
      <c r="O1162" s="11" t="s">
        <v>69</v>
      </c>
    </row>
    <row r="1163" spans="2:15" ht="21" customHeight="1" x14ac:dyDescent="0.3">
      <c r="B1163" s="4" t="s">
        <v>14</v>
      </c>
      <c r="C1163" s="5">
        <v>13</v>
      </c>
      <c r="D1163" s="6" t="s">
        <v>23</v>
      </c>
      <c r="E1163" s="4" t="s">
        <v>16</v>
      </c>
      <c r="F1163" s="4" t="s">
        <v>46</v>
      </c>
      <c r="G1163" s="7">
        <v>3</v>
      </c>
      <c r="H1163" s="1">
        <v>15000000</v>
      </c>
      <c r="I1163" s="4">
        <v>1</v>
      </c>
      <c r="J1163" s="8">
        <v>7.0601851851851841E-3</v>
      </c>
      <c r="K1163" s="4" t="s">
        <v>18</v>
      </c>
      <c r="L1163" s="4" t="s">
        <v>51</v>
      </c>
      <c r="M1163" s="4" t="s">
        <v>35</v>
      </c>
      <c r="N1163" s="4" t="s">
        <v>27</v>
      </c>
      <c r="O1163" s="4" t="s">
        <v>33</v>
      </c>
    </row>
    <row r="1164" spans="2:15" ht="21" customHeight="1" x14ac:dyDescent="0.3">
      <c r="B1164" s="11" t="s">
        <v>14</v>
      </c>
      <c r="C1164" s="12">
        <v>11</v>
      </c>
      <c r="D1164" s="13" t="s">
        <v>23</v>
      </c>
      <c r="E1164" s="11" t="s">
        <v>53</v>
      </c>
      <c r="F1164" s="11" t="s">
        <v>17</v>
      </c>
      <c r="G1164" s="14">
        <v>1</v>
      </c>
      <c r="H1164" s="15">
        <v>7000000</v>
      </c>
      <c r="I1164" s="11">
        <v>3</v>
      </c>
      <c r="J1164" s="16">
        <v>7.0601851851851841E-3</v>
      </c>
      <c r="K1164" s="11" t="s">
        <v>18</v>
      </c>
      <c r="L1164" s="11" t="s">
        <v>60</v>
      </c>
      <c r="M1164" s="11" t="s">
        <v>20</v>
      </c>
      <c r="N1164" s="11" t="s">
        <v>21</v>
      </c>
      <c r="O1164" s="11" t="s">
        <v>45</v>
      </c>
    </row>
    <row r="1165" spans="2:15" ht="21" customHeight="1" x14ac:dyDescent="0.3">
      <c r="B1165" s="4" t="s">
        <v>14</v>
      </c>
      <c r="C1165" s="5">
        <v>7</v>
      </c>
      <c r="D1165" s="6" t="s">
        <v>29</v>
      </c>
      <c r="E1165" s="4" t="s">
        <v>34</v>
      </c>
      <c r="F1165" s="4" t="s">
        <v>46</v>
      </c>
      <c r="G1165" s="7">
        <v>2</v>
      </c>
      <c r="H1165" s="1">
        <v>12000000</v>
      </c>
      <c r="I1165" s="4">
        <v>4</v>
      </c>
      <c r="J1165" s="8">
        <v>7.0601851851851841E-3</v>
      </c>
      <c r="K1165" s="4" t="s">
        <v>18</v>
      </c>
      <c r="L1165" s="4" t="s">
        <v>43</v>
      </c>
      <c r="M1165" s="4" t="s">
        <v>44</v>
      </c>
      <c r="N1165" s="4" t="s">
        <v>21</v>
      </c>
      <c r="O1165" s="4" t="s">
        <v>66</v>
      </c>
    </row>
    <row r="1166" spans="2:15" ht="21" customHeight="1" x14ac:dyDescent="0.3">
      <c r="B1166" s="11" t="s">
        <v>14</v>
      </c>
      <c r="C1166" s="12">
        <v>9</v>
      </c>
      <c r="D1166" s="13" t="s">
        <v>29</v>
      </c>
      <c r="E1166" s="11" t="s">
        <v>30</v>
      </c>
      <c r="F1166" s="11" t="s">
        <v>24</v>
      </c>
      <c r="G1166" s="14">
        <v>3</v>
      </c>
      <c r="H1166" s="15">
        <v>15000000</v>
      </c>
      <c r="I1166" s="11">
        <v>4</v>
      </c>
      <c r="J1166" s="16">
        <v>7.0601851851851841E-3</v>
      </c>
      <c r="K1166" s="11" t="s">
        <v>18</v>
      </c>
      <c r="L1166" s="11" t="s">
        <v>19</v>
      </c>
      <c r="M1166" s="11" t="s">
        <v>35</v>
      </c>
      <c r="N1166" s="11" t="s">
        <v>36</v>
      </c>
      <c r="O1166" s="11" t="s">
        <v>58</v>
      </c>
    </row>
    <row r="1167" spans="2:15" ht="21" customHeight="1" x14ac:dyDescent="0.3">
      <c r="B1167" s="4" t="s">
        <v>14</v>
      </c>
      <c r="C1167" s="5">
        <v>24</v>
      </c>
      <c r="D1167" s="6" t="s">
        <v>29</v>
      </c>
      <c r="E1167" s="4" t="s">
        <v>30</v>
      </c>
      <c r="F1167" s="4" t="s">
        <v>49</v>
      </c>
      <c r="G1167" s="7">
        <v>2</v>
      </c>
      <c r="H1167" s="1">
        <v>12000000</v>
      </c>
      <c r="I1167" s="4">
        <v>2</v>
      </c>
      <c r="J1167" s="8">
        <v>7.0601851851851841E-3</v>
      </c>
      <c r="K1167" s="4" t="s">
        <v>18</v>
      </c>
      <c r="L1167" s="4" t="s">
        <v>43</v>
      </c>
      <c r="M1167" s="4" t="s">
        <v>55</v>
      </c>
      <c r="N1167" s="4" t="s">
        <v>27</v>
      </c>
      <c r="O1167" s="4" t="s">
        <v>56</v>
      </c>
    </row>
    <row r="1168" spans="2:15" ht="21" customHeight="1" x14ac:dyDescent="0.3">
      <c r="B1168" s="11" t="s">
        <v>14</v>
      </c>
      <c r="C1168" s="12">
        <v>28</v>
      </c>
      <c r="D1168" s="13" t="s">
        <v>41</v>
      </c>
      <c r="E1168" s="11" t="s">
        <v>42</v>
      </c>
      <c r="F1168" s="11" t="s">
        <v>46</v>
      </c>
      <c r="G1168" s="14">
        <v>4</v>
      </c>
      <c r="H1168" s="15">
        <v>20000000</v>
      </c>
      <c r="I1168" s="11">
        <v>1</v>
      </c>
      <c r="J1168" s="16">
        <v>7.0601851851851841E-3</v>
      </c>
      <c r="K1168" s="11" t="s">
        <v>18</v>
      </c>
      <c r="L1168" s="11" t="s">
        <v>19</v>
      </c>
      <c r="M1168" s="11" t="s">
        <v>32</v>
      </c>
      <c r="N1168" s="11" t="s">
        <v>21</v>
      </c>
      <c r="O1168" s="11" t="s">
        <v>66</v>
      </c>
    </row>
    <row r="1169" spans="2:15" ht="21" customHeight="1" x14ac:dyDescent="0.3">
      <c r="B1169" s="4" t="s">
        <v>14</v>
      </c>
      <c r="C1169" s="5">
        <v>25</v>
      </c>
      <c r="D1169" s="6" t="s">
        <v>41</v>
      </c>
      <c r="E1169" s="4" t="s">
        <v>30</v>
      </c>
      <c r="F1169" s="4" t="s">
        <v>72</v>
      </c>
      <c r="G1169" s="7">
        <v>5</v>
      </c>
      <c r="H1169" s="1">
        <v>20000000</v>
      </c>
      <c r="I1169" s="4">
        <v>5</v>
      </c>
      <c r="J1169" s="8">
        <v>7.0601851851851841E-3</v>
      </c>
      <c r="K1169" s="4" t="s">
        <v>18</v>
      </c>
      <c r="L1169" s="4" t="s">
        <v>38</v>
      </c>
      <c r="M1169" s="4" t="s">
        <v>47</v>
      </c>
      <c r="N1169" s="4" t="s">
        <v>27</v>
      </c>
      <c r="O1169" s="4" t="s">
        <v>33</v>
      </c>
    </row>
    <row r="1170" spans="2:15" ht="21" customHeight="1" x14ac:dyDescent="0.3">
      <c r="B1170" s="11" t="s">
        <v>14</v>
      </c>
      <c r="C1170" s="12">
        <v>29</v>
      </c>
      <c r="D1170" s="13" t="s">
        <v>41</v>
      </c>
      <c r="E1170" s="11" t="s">
        <v>30</v>
      </c>
      <c r="F1170" s="11" t="s">
        <v>24</v>
      </c>
      <c r="G1170" s="14">
        <v>2</v>
      </c>
      <c r="H1170" s="15">
        <v>12000000</v>
      </c>
      <c r="I1170" s="11">
        <v>2</v>
      </c>
      <c r="J1170" s="16">
        <v>7.0601851851851841E-3</v>
      </c>
      <c r="K1170" s="11" t="s">
        <v>18</v>
      </c>
      <c r="L1170" s="11" t="s">
        <v>51</v>
      </c>
      <c r="M1170" s="11" t="s">
        <v>55</v>
      </c>
      <c r="N1170" s="11" t="s">
        <v>27</v>
      </c>
      <c r="O1170" s="11" t="s">
        <v>28</v>
      </c>
    </row>
    <row r="1171" spans="2:15" ht="21" customHeight="1" x14ac:dyDescent="0.3">
      <c r="B1171" s="4" t="s">
        <v>14</v>
      </c>
      <c r="C1171" s="5">
        <v>25</v>
      </c>
      <c r="D1171" s="6" t="s">
        <v>73</v>
      </c>
      <c r="E1171" s="4" t="s">
        <v>16</v>
      </c>
      <c r="F1171" s="4" t="s">
        <v>24</v>
      </c>
      <c r="G1171" s="7">
        <v>4</v>
      </c>
      <c r="H1171" s="1">
        <v>20000000</v>
      </c>
      <c r="I1171" s="4">
        <v>1</v>
      </c>
      <c r="J1171" s="8">
        <v>7.0601851851851841E-3</v>
      </c>
      <c r="K1171" s="4" t="s">
        <v>65</v>
      </c>
      <c r="L1171" s="4" t="s">
        <v>54</v>
      </c>
      <c r="M1171" s="4" t="s">
        <v>47</v>
      </c>
      <c r="N1171" s="4" t="s">
        <v>39</v>
      </c>
      <c r="O1171" s="4" t="s">
        <v>71</v>
      </c>
    </row>
    <row r="1172" spans="2:15" ht="21" customHeight="1" x14ac:dyDescent="0.3">
      <c r="B1172" s="11" t="s">
        <v>14</v>
      </c>
      <c r="C1172" s="12">
        <v>12</v>
      </c>
      <c r="D1172" s="13" t="s">
        <v>64</v>
      </c>
      <c r="E1172" s="11" t="s">
        <v>30</v>
      </c>
      <c r="F1172" s="11" t="s">
        <v>46</v>
      </c>
      <c r="G1172" s="14">
        <v>3</v>
      </c>
      <c r="H1172" s="15">
        <v>15000000</v>
      </c>
      <c r="I1172" s="11">
        <v>3</v>
      </c>
      <c r="J1172" s="16">
        <v>7.0601851851851841E-3</v>
      </c>
      <c r="K1172" s="11" t="s">
        <v>18</v>
      </c>
      <c r="L1172" s="11" t="s">
        <v>68</v>
      </c>
      <c r="M1172" s="11" t="s">
        <v>52</v>
      </c>
      <c r="N1172" s="11" t="s">
        <v>36</v>
      </c>
      <c r="O1172" s="11" t="s">
        <v>69</v>
      </c>
    </row>
    <row r="1173" spans="2:15" ht="21" customHeight="1" x14ac:dyDescent="0.3">
      <c r="B1173" s="4" t="s">
        <v>14</v>
      </c>
      <c r="C1173" s="5">
        <v>13</v>
      </c>
      <c r="D1173" s="6" t="s">
        <v>23</v>
      </c>
      <c r="E1173" s="4" t="s">
        <v>16</v>
      </c>
      <c r="F1173" s="4" t="s">
        <v>46</v>
      </c>
      <c r="G1173" s="7">
        <v>3</v>
      </c>
      <c r="H1173" s="1">
        <v>15000000</v>
      </c>
      <c r="I1173" s="4">
        <v>1</v>
      </c>
      <c r="J1173" s="8">
        <v>7.0601851851851841E-3</v>
      </c>
      <c r="K1173" s="4" t="s">
        <v>18</v>
      </c>
      <c r="L1173" s="4" t="s">
        <v>51</v>
      </c>
      <c r="M1173" s="4" t="s">
        <v>35</v>
      </c>
      <c r="N1173" s="4" t="s">
        <v>27</v>
      </c>
      <c r="O1173" s="4" t="s">
        <v>33</v>
      </c>
    </row>
    <row r="1174" spans="2:15" ht="21" customHeight="1" x14ac:dyDescent="0.3">
      <c r="B1174" s="11" t="s">
        <v>74</v>
      </c>
      <c r="C1174" s="12">
        <v>21</v>
      </c>
      <c r="D1174" s="13" t="s">
        <v>29</v>
      </c>
      <c r="E1174" s="11" t="s">
        <v>16</v>
      </c>
      <c r="F1174" s="11" t="s">
        <v>46</v>
      </c>
      <c r="G1174" s="14">
        <v>0</v>
      </c>
      <c r="H1174" s="15">
        <v>0</v>
      </c>
      <c r="I1174" s="11">
        <v>2</v>
      </c>
      <c r="J1174" s="16">
        <v>7.0601851851851841E-3</v>
      </c>
      <c r="K1174" s="11"/>
      <c r="L1174" s="11"/>
      <c r="M1174" s="11" t="s">
        <v>35</v>
      </c>
      <c r="N1174" s="11" t="s">
        <v>21</v>
      </c>
      <c r="O1174" s="11" t="s">
        <v>70</v>
      </c>
    </row>
    <row r="1175" spans="2:15" ht="21" customHeight="1" x14ac:dyDescent="0.3">
      <c r="B1175" s="4" t="s">
        <v>74</v>
      </c>
      <c r="C1175" s="5">
        <v>25</v>
      </c>
      <c r="D1175" s="6" t="s">
        <v>48</v>
      </c>
      <c r="E1175" s="4" t="s">
        <v>30</v>
      </c>
      <c r="F1175" s="4" t="s">
        <v>46</v>
      </c>
      <c r="G1175" s="7">
        <v>0</v>
      </c>
      <c r="H1175" s="1">
        <v>0</v>
      </c>
      <c r="I1175" s="4">
        <v>2</v>
      </c>
      <c r="J1175" s="8">
        <v>7.0601851851851841E-3</v>
      </c>
      <c r="K1175" s="4"/>
      <c r="L1175" s="4"/>
      <c r="M1175" s="4" t="s">
        <v>26</v>
      </c>
      <c r="N1175" s="4" t="s">
        <v>27</v>
      </c>
      <c r="O1175" s="4" t="s">
        <v>56</v>
      </c>
    </row>
    <row r="1176" spans="2:15" ht="21" customHeight="1" x14ac:dyDescent="0.3">
      <c r="B1176" s="11" t="s">
        <v>74</v>
      </c>
      <c r="C1176" s="12">
        <v>11</v>
      </c>
      <c r="D1176" s="13" t="s">
        <v>48</v>
      </c>
      <c r="E1176" s="11" t="s">
        <v>34</v>
      </c>
      <c r="F1176" s="11" t="s">
        <v>72</v>
      </c>
      <c r="G1176" s="14">
        <v>0</v>
      </c>
      <c r="H1176" s="15">
        <v>0</v>
      </c>
      <c r="I1176" s="11">
        <v>2</v>
      </c>
      <c r="J1176" s="16">
        <v>7.0601851851851841E-3</v>
      </c>
      <c r="K1176" s="11"/>
      <c r="L1176" s="11"/>
      <c r="M1176" s="11" t="s">
        <v>52</v>
      </c>
      <c r="N1176" s="11" t="s">
        <v>21</v>
      </c>
      <c r="O1176" s="11" t="s">
        <v>45</v>
      </c>
    </row>
    <row r="1177" spans="2:15" ht="21" customHeight="1" x14ac:dyDescent="0.3">
      <c r="B1177" s="4" t="s">
        <v>14</v>
      </c>
      <c r="C1177" s="5">
        <v>1</v>
      </c>
      <c r="D1177" s="6" t="s">
        <v>15</v>
      </c>
      <c r="E1177" s="4" t="s">
        <v>30</v>
      </c>
      <c r="F1177" s="4" t="s">
        <v>24</v>
      </c>
      <c r="G1177" s="7">
        <v>5</v>
      </c>
      <c r="H1177" s="1">
        <v>25000000</v>
      </c>
      <c r="I1177" s="4">
        <v>1</v>
      </c>
      <c r="J1177" s="8">
        <v>7.8703703703703713E-3</v>
      </c>
      <c r="K1177" s="4" t="s">
        <v>18</v>
      </c>
      <c r="L1177" s="4" t="s">
        <v>19</v>
      </c>
      <c r="M1177" s="4" t="s">
        <v>47</v>
      </c>
      <c r="N1177" s="4" t="s">
        <v>39</v>
      </c>
      <c r="O1177" s="4" t="s">
        <v>40</v>
      </c>
    </row>
    <row r="1178" spans="2:15" ht="21" customHeight="1" x14ac:dyDescent="0.3">
      <c r="B1178" s="11" t="s">
        <v>14</v>
      </c>
      <c r="C1178" s="12">
        <v>11</v>
      </c>
      <c r="D1178" s="13" t="s">
        <v>15</v>
      </c>
      <c r="E1178" s="11" t="s">
        <v>53</v>
      </c>
      <c r="F1178" s="11" t="s">
        <v>24</v>
      </c>
      <c r="G1178" s="14">
        <v>3</v>
      </c>
      <c r="H1178" s="15">
        <v>15000000</v>
      </c>
      <c r="I1178" s="11">
        <v>2</v>
      </c>
      <c r="J1178" s="16">
        <v>7.8703703703703713E-3</v>
      </c>
      <c r="K1178" s="11" t="s">
        <v>18</v>
      </c>
      <c r="L1178" s="11" t="s">
        <v>38</v>
      </c>
      <c r="M1178" s="11" t="s">
        <v>52</v>
      </c>
      <c r="N1178" s="11" t="s">
        <v>36</v>
      </c>
      <c r="O1178" s="11" t="s">
        <v>69</v>
      </c>
    </row>
    <row r="1179" spans="2:15" ht="21" customHeight="1" x14ac:dyDescent="0.3">
      <c r="B1179" s="4" t="s">
        <v>14</v>
      </c>
      <c r="C1179" s="5">
        <v>4</v>
      </c>
      <c r="D1179" s="6" t="s">
        <v>63</v>
      </c>
      <c r="E1179" s="4" t="s">
        <v>30</v>
      </c>
      <c r="F1179" s="4" t="s">
        <v>46</v>
      </c>
      <c r="G1179" s="7">
        <v>4</v>
      </c>
      <c r="H1179" s="1">
        <v>20000000</v>
      </c>
      <c r="I1179" s="4">
        <v>1</v>
      </c>
      <c r="J1179" s="8">
        <v>7.8703703703703713E-3</v>
      </c>
      <c r="K1179" s="4" t="s">
        <v>65</v>
      </c>
      <c r="L1179" s="4" t="s">
        <v>60</v>
      </c>
      <c r="M1179" s="4" t="s">
        <v>32</v>
      </c>
      <c r="N1179" s="4" t="s">
        <v>27</v>
      </c>
      <c r="O1179" s="4" t="s">
        <v>75</v>
      </c>
    </row>
    <row r="1180" spans="2:15" ht="21" customHeight="1" x14ac:dyDescent="0.3">
      <c r="B1180" s="11" t="s">
        <v>14</v>
      </c>
      <c r="C1180" s="12">
        <v>30</v>
      </c>
      <c r="D1180" s="13" t="s">
        <v>29</v>
      </c>
      <c r="E1180" s="11" t="s">
        <v>30</v>
      </c>
      <c r="F1180" s="11" t="s">
        <v>46</v>
      </c>
      <c r="G1180" s="14">
        <v>2</v>
      </c>
      <c r="H1180" s="15">
        <v>10000000</v>
      </c>
      <c r="I1180" s="11">
        <v>1</v>
      </c>
      <c r="J1180" s="16">
        <v>7.8703703703703713E-3</v>
      </c>
      <c r="K1180" s="11" t="s">
        <v>18</v>
      </c>
      <c r="L1180" s="11" t="s">
        <v>60</v>
      </c>
      <c r="M1180" s="11" t="s">
        <v>20</v>
      </c>
      <c r="N1180" s="11" t="s">
        <v>21</v>
      </c>
      <c r="O1180" s="11" t="s">
        <v>22</v>
      </c>
    </row>
    <row r="1181" spans="2:15" ht="21" customHeight="1" x14ac:dyDescent="0.3">
      <c r="B1181" s="4" t="s">
        <v>14</v>
      </c>
      <c r="C1181" s="5">
        <v>14</v>
      </c>
      <c r="D1181" s="6" t="s">
        <v>41</v>
      </c>
      <c r="E1181" s="4" t="s">
        <v>16</v>
      </c>
      <c r="F1181" s="4" t="s">
        <v>24</v>
      </c>
      <c r="G1181" s="7">
        <v>1</v>
      </c>
      <c r="H1181" s="1">
        <v>19000000</v>
      </c>
      <c r="I1181" s="4">
        <v>2</v>
      </c>
      <c r="J1181" s="8">
        <v>7.8703703703703713E-3</v>
      </c>
      <c r="K1181" s="4" t="s">
        <v>50</v>
      </c>
      <c r="L1181" s="4" t="s">
        <v>31</v>
      </c>
      <c r="M1181" s="4" t="s">
        <v>52</v>
      </c>
      <c r="N1181" s="4" t="s">
        <v>39</v>
      </c>
      <c r="O1181" s="4" t="s">
        <v>40</v>
      </c>
    </row>
    <row r="1182" spans="2:15" ht="21" customHeight="1" x14ac:dyDescent="0.3">
      <c r="B1182" s="11" t="s">
        <v>14</v>
      </c>
      <c r="C1182" s="12">
        <v>19</v>
      </c>
      <c r="D1182" s="13" t="s">
        <v>41</v>
      </c>
      <c r="E1182" s="11" t="s">
        <v>30</v>
      </c>
      <c r="F1182" s="11" t="s">
        <v>24</v>
      </c>
      <c r="G1182" s="14">
        <v>1</v>
      </c>
      <c r="H1182" s="15">
        <v>7000000</v>
      </c>
      <c r="I1182" s="11">
        <v>4</v>
      </c>
      <c r="J1182" s="16">
        <v>7.8703703703703713E-3</v>
      </c>
      <c r="K1182" s="11" t="s">
        <v>18</v>
      </c>
      <c r="L1182" s="11" t="s">
        <v>25</v>
      </c>
      <c r="M1182" s="11" t="s">
        <v>35</v>
      </c>
      <c r="N1182" s="11" t="s">
        <v>27</v>
      </c>
      <c r="O1182" s="11" t="s">
        <v>75</v>
      </c>
    </row>
    <row r="1183" spans="2:15" ht="21" customHeight="1" x14ac:dyDescent="0.3">
      <c r="B1183" s="4" t="s">
        <v>14</v>
      </c>
      <c r="C1183" s="5">
        <v>3</v>
      </c>
      <c r="D1183" s="6" t="s">
        <v>41</v>
      </c>
      <c r="E1183" s="4" t="s">
        <v>16</v>
      </c>
      <c r="F1183" s="4" t="s">
        <v>49</v>
      </c>
      <c r="G1183" s="7">
        <v>3</v>
      </c>
      <c r="H1183" s="1">
        <v>12000000</v>
      </c>
      <c r="I1183" s="4">
        <v>2</v>
      </c>
      <c r="J1183" s="8">
        <v>7.8703703703703713E-3</v>
      </c>
      <c r="K1183" s="4" t="s">
        <v>18</v>
      </c>
      <c r="L1183" s="4" t="s">
        <v>43</v>
      </c>
      <c r="M1183" s="4" t="s">
        <v>55</v>
      </c>
      <c r="N1183" s="4" t="s">
        <v>27</v>
      </c>
      <c r="O1183" s="4" t="s">
        <v>28</v>
      </c>
    </row>
    <row r="1184" spans="2:15" ht="21" customHeight="1" x14ac:dyDescent="0.3">
      <c r="B1184" s="11" t="s">
        <v>14</v>
      </c>
      <c r="C1184" s="12">
        <v>3</v>
      </c>
      <c r="D1184" s="13" t="s">
        <v>48</v>
      </c>
      <c r="E1184" s="11" t="s">
        <v>34</v>
      </c>
      <c r="F1184" s="11" t="s">
        <v>24</v>
      </c>
      <c r="G1184" s="14">
        <v>2</v>
      </c>
      <c r="H1184" s="15">
        <v>38000000</v>
      </c>
      <c r="I1184" s="11">
        <v>2</v>
      </c>
      <c r="J1184" s="16">
        <v>7.8703703703703713E-3</v>
      </c>
      <c r="K1184" s="11" t="s">
        <v>50</v>
      </c>
      <c r="L1184" s="11" t="s">
        <v>68</v>
      </c>
      <c r="M1184" s="11" t="s">
        <v>35</v>
      </c>
      <c r="N1184" s="11" t="s">
        <v>27</v>
      </c>
      <c r="O1184" s="11" t="s">
        <v>33</v>
      </c>
    </row>
    <row r="1185" spans="2:15" ht="21" customHeight="1" x14ac:dyDescent="0.3">
      <c r="B1185" s="4" t="s">
        <v>14</v>
      </c>
      <c r="C1185" s="5">
        <v>12</v>
      </c>
      <c r="D1185" s="6" t="s">
        <v>48</v>
      </c>
      <c r="E1185" s="4" t="s">
        <v>53</v>
      </c>
      <c r="F1185" s="4" t="s">
        <v>46</v>
      </c>
      <c r="G1185" s="7">
        <v>3</v>
      </c>
      <c r="H1185" s="1">
        <v>15000000</v>
      </c>
      <c r="I1185" s="4">
        <v>1</v>
      </c>
      <c r="J1185" s="8">
        <v>7.8703703703703713E-3</v>
      </c>
      <c r="K1185" s="4" t="s">
        <v>18</v>
      </c>
      <c r="L1185" s="4" t="s">
        <v>31</v>
      </c>
      <c r="M1185" s="4" t="s">
        <v>55</v>
      </c>
      <c r="N1185" s="4" t="s">
        <v>21</v>
      </c>
      <c r="O1185" s="4" t="s">
        <v>57</v>
      </c>
    </row>
    <row r="1186" spans="2:15" ht="21" customHeight="1" x14ac:dyDescent="0.3">
      <c r="B1186" s="11" t="s">
        <v>14</v>
      </c>
      <c r="C1186" s="12">
        <v>22</v>
      </c>
      <c r="D1186" s="13" t="s">
        <v>48</v>
      </c>
      <c r="E1186" s="11" t="s">
        <v>16</v>
      </c>
      <c r="F1186" s="11" t="s">
        <v>72</v>
      </c>
      <c r="G1186" s="14">
        <v>2</v>
      </c>
      <c r="H1186" s="15">
        <v>12000000</v>
      </c>
      <c r="I1186" s="11">
        <v>3</v>
      </c>
      <c r="J1186" s="16">
        <v>7.8703703703703713E-3</v>
      </c>
      <c r="K1186" s="11" t="s">
        <v>18</v>
      </c>
      <c r="L1186" s="11" t="s">
        <v>19</v>
      </c>
      <c r="M1186" s="11" t="s">
        <v>44</v>
      </c>
      <c r="N1186" s="11" t="s">
        <v>21</v>
      </c>
      <c r="O1186" s="11" t="s">
        <v>67</v>
      </c>
    </row>
    <row r="1187" spans="2:15" ht="21" customHeight="1" x14ac:dyDescent="0.3">
      <c r="B1187" s="4" t="s">
        <v>14</v>
      </c>
      <c r="C1187" s="5">
        <v>1</v>
      </c>
      <c r="D1187" s="6" t="s">
        <v>15</v>
      </c>
      <c r="E1187" s="4" t="s">
        <v>30</v>
      </c>
      <c r="F1187" s="4" t="s">
        <v>24</v>
      </c>
      <c r="G1187" s="7">
        <v>5</v>
      </c>
      <c r="H1187" s="1">
        <v>25000000</v>
      </c>
      <c r="I1187" s="4">
        <v>1</v>
      </c>
      <c r="J1187" s="8">
        <v>7.8703703703703713E-3</v>
      </c>
      <c r="K1187" s="4" t="s">
        <v>18</v>
      </c>
      <c r="L1187" s="4" t="s">
        <v>19</v>
      </c>
      <c r="M1187" s="4" t="s">
        <v>47</v>
      </c>
      <c r="N1187" s="4" t="s">
        <v>39</v>
      </c>
      <c r="O1187" s="4" t="s">
        <v>40</v>
      </c>
    </row>
    <row r="1188" spans="2:15" ht="21" customHeight="1" x14ac:dyDescent="0.3">
      <c r="B1188" s="11" t="s">
        <v>14</v>
      </c>
      <c r="C1188" s="12">
        <v>11</v>
      </c>
      <c r="D1188" s="13" t="s">
        <v>15</v>
      </c>
      <c r="E1188" s="11" t="s">
        <v>53</v>
      </c>
      <c r="F1188" s="11" t="s">
        <v>24</v>
      </c>
      <c r="G1188" s="14">
        <v>3</v>
      </c>
      <c r="H1188" s="15">
        <v>15000000</v>
      </c>
      <c r="I1188" s="11">
        <v>2</v>
      </c>
      <c r="J1188" s="16">
        <v>7.8703703703703713E-3</v>
      </c>
      <c r="K1188" s="11" t="s">
        <v>18</v>
      </c>
      <c r="L1188" s="11" t="s">
        <v>38</v>
      </c>
      <c r="M1188" s="11" t="s">
        <v>52</v>
      </c>
      <c r="N1188" s="11" t="s">
        <v>36</v>
      </c>
      <c r="O1188" s="11" t="s">
        <v>69</v>
      </c>
    </row>
    <row r="1189" spans="2:15" ht="21" customHeight="1" x14ac:dyDescent="0.3">
      <c r="B1189" s="4" t="s">
        <v>14</v>
      </c>
      <c r="C1189" s="5">
        <v>4</v>
      </c>
      <c r="D1189" s="6" t="s">
        <v>63</v>
      </c>
      <c r="E1189" s="4" t="s">
        <v>30</v>
      </c>
      <c r="F1189" s="4" t="s">
        <v>46</v>
      </c>
      <c r="G1189" s="7">
        <v>4</v>
      </c>
      <c r="H1189" s="1">
        <v>20000000</v>
      </c>
      <c r="I1189" s="4">
        <v>1</v>
      </c>
      <c r="J1189" s="8">
        <v>7.8703703703703713E-3</v>
      </c>
      <c r="K1189" s="4" t="s">
        <v>65</v>
      </c>
      <c r="L1189" s="4" t="s">
        <v>60</v>
      </c>
      <c r="M1189" s="4" t="s">
        <v>32</v>
      </c>
      <c r="N1189" s="4" t="s">
        <v>27</v>
      </c>
      <c r="O1189" s="4" t="s">
        <v>75</v>
      </c>
    </row>
    <row r="1190" spans="2:15" ht="21" customHeight="1" x14ac:dyDescent="0.3">
      <c r="B1190" s="11" t="s">
        <v>74</v>
      </c>
      <c r="C1190" s="12">
        <v>5</v>
      </c>
      <c r="D1190" s="13" t="s">
        <v>41</v>
      </c>
      <c r="E1190" s="11" t="s">
        <v>16</v>
      </c>
      <c r="F1190" s="11" t="s">
        <v>46</v>
      </c>
      <c r="G1190" s="14">
        <v>0</v>
      </c>
      <c r="H1190" s="15">
        <v>0</v>
      </c>
      <c r="I1190" s="11">
        <v>3</v>
      </c>
      <c r="J1190" s="16">
        <v>7.8703703703703713E-3</v>
      </c>
      <c r="K1190" s="11"/>
      <c r="L1190" s="11"/>
      <c r="M1190" s="11" t="s">
        <v>32</v>
      </c>
      <c r="N1190" s="11" t="s">
        <v>27</v>
      </c>
      <c r="O1190" s="11" t="s">
        <v>33</v>
      </c>
    </row>
    <row r="1191" spans="2:15" ht="21" customHeight="1" x14ac:dyDescent="0.3">
      <c r="B1191" s="4" t="s">
        <v>74</v>
      </c>
      <c r="C1191" s="5">
        <v>10</v>
      </c>
      <c r="D1191" s="6" t="s">
        <v>73</v>
      </c>
      <c r="E1191" s="4" t="s">
        <v>16</v>
      </c>
      <c r="F1191" s="4" t="s">
        <v>24</v>
      </c>
      <c r="G1191" s="7">
        <v>0</v>
      </c>
      <c r="H1191" s="1">
        <v>0</v>
      </c>
      <c r="I1191" s="4">
        <v>2</v>
      </c>
      <c r="J1191" s="8">
        <v>7.8703703703703713E-3</v>
      </c>
      <c r="K1191" s="4"/>
      <c r="L1191" s="4"/>
      <c r="M1191" s="4" t="s">
        <v>44</v>
      </c>
      <c r="N1191" s="4" t="s">
        <v>39</v>
      </c>
      <c r="O1191" s="4" t="s">
        <v>40</v>
      </c>
    </row>
    <row r="1192" spans="2:15" ht="21" customHeight="1" x14ac:dyDescent="0.3">
      <c r="B1192" s="11" t="s">
        <v>74</v>
      </c>
      <c r="C1192" s="12">
        <v>10</v>
      </c>
      <c r="D1192" s="13" t="s">
        <v>73</v>
      </c>
      <c r="E1192" s="11" t="s">
        <v>53</v>
      </c>
      <c r="F1192" s="11" t="s">
        <v>46</v>
      </c>
      <c r="G1192" s="14">
        <v>0</v>
      </c>
      <c r="H1192" s="15">
        <v>0</v>
      </c>
      <c r="I1192" s="11">
        <v>2</v>
      </c>
      <c r="J1192" s="16">
        <v>7.8703703703703713E-3</v>
      </c>
      <c r="K1192" s="11"/>
      <c r="L1192" s="11"/>
      <c r="M1192" s="11" t="s">
        <v>20</v>
      </c>
      <c r="N1192" s="11" t="s">
        <v>21</v>
      </c>
      <c r="O1192" s="11" t="s">
        <v>57</v>
      </c>
    </row>
    <row r="1193" spans="2:15" ht="21" customHeight="1" x14ac:dyDescent="0.3">
      <c r="B1193" s="4" t="s">
        <v>14</v>
      </c>
      <c r="C1193" s="5">
        <v>17</v>
      </c>
      <c r="D1193" s="6" t="s">
        <v>59</v>
      </c>
      <c r="E1193" s="4" t="s">
        <v>30</v>
      </c>
      <c r="F1193" s="4" t="s">
        <v>46</v>
      </c>
      <c r="G1193" s="7">
        <v>2</v>
      </c>
      <c r="H1193" s="1">
        <v>38000000</v>
      </c>
      <c r="I1193" s="4">
        <v>4</v>
      </c>
      <c r="J1193" s="8">
        <v>8.8541666666666664E-3</v>
      </c>
      <c r="K1193" s="4" t="s">
        <v>50</v>
      </c>
      <c r="L1193" s="4" t="s">
        <v>31</v>
      </c>
      <c r="M1193" s="4" t="s">
        <v>35</v>
      </c>
      <c r="N1193" s="4" t="s">
        <v>27</v>
      </c>
      <c r="O1193" s="4" t="s">
        <v>33</v>
      </c>
    </row>
    <row r="1194" spans="2:15" ht="21" customHeight="1" x14ac:dyDescent="0.3">
      <c r="B1194" s="11" t="s">
        <v>14</v>
      </c>
      <c r="C1194" s="12">
        <v>2</v>
      </c>
      <c r="D1194" s="13" t="s">
        <v>63</v>
      </c>
      <c r="E1194" s="11" t="s">
        <v>16</v>
      </c>
      <c r="F1194" s="11" t="s">
        <v>46</v>
      </c>
      <c r="G1194" s="14">
        <v>5</v>
      </c>
      <c r="H1194" s="15">
        <v>25000000</v>
      </c>
      <c r="I1194" s="11">
        <v>1</v>
      </c>
      <c r="J1194" s="16">
        <v>8.8541666666666664E-3</v>
      </c>
      <c r="K1194" s="11" t="s">
        <v>18</v>
      </c>
      <c r="L1194" s="11" t="s">
        <v>19</v>
      </c>
      <c r="M1194" s="11" t="s">
        <v>55</v>
      </c>
      <c r="N1194" s="11" t="s">
        <v>21</v>
      </c>
      <c r="O1194" s="11" t="s">
        <v>22</v>
      </c>
    </row>
    <row r="1195" spans="2:15" ht="21" customHeight="1" x14ac:dyDescent="0.3">
      <c r="B1195" s="4" t="s">
        <v>14</v>
      </c>
      <c r="C1195" s="5">
        <v>5</v>
      </c>
      <c r="D1195" s="6" t="s">
        <v>23</v>
      </c>
      <c r="E1195" s="4" t="s">
        <v>16</v>
      </c>
      <c r="F1195" s="4" t="s">
        <v>17</v>
      </c>
      <c r="G1195" s="7">
        <v>4</v>
      </c>
      <c r="H1195" s="1">
        <v>20000000</v>
      </c>
      <c r="I1195" s="4">
        <v>3</v>
      </c>
      <c r="J1195" s="8">
        <v>8.8541666666666664E-3</v>
      </c>
      <c r="K1195" s="4" t="s">
        <v>65</v>
      </c>
      <c r="L1195" s="4" t="s">
        <v>51</v>
      </c>
      <c r="M1195" s="4" t="s">
        <v>35</v>
      </c>
      <c r="N1195" s="4" t="s">
        <v>21</v>
      </c>
      <c r="O1195" s="4" t="s">
        <v>70</v>
      </c>
    </row>
    <row r="1196" spans="2:15" ht="21" customHeight="1" x14ac:dyDescent="0.3">
      <c r="B1196" s="11" t="s">
        <v>14</v>
      </c>
      <c r="C1196" s="12">
        <v>11</v>
      </c>
      <c r="D1196" s="13" t="s">
        <v>23</v>
      </c>
      <c r="E1196" s="11" t="s">
        <v>30</v>
      </c>
      <c r="F1196" s="11" t="s">
        <v>24</v>
      </c>
      <c r="G1196" s="14">
        <v>1</v>
      </c>
      <c r="H1196" s="15">
        <v>7000000</v>
      </c>
      <c r="I1196" s="11">
        <v>6</v>
      </c>
      <c r="J1196" s="16">
        <v>8.8541666666666664E-3</v>
      </c>
      <c r="K1196" s="11" t="s">
        <v>18</v>
      </c>
      <c r="L1196" s="11" t="s">
        <v>31</v>
      </c>
      <c r="M1196" s="11" t="s">
        <v>26</v>
      </c>
      <c r="N1196" s="11" t="s">
        <v>27</v>
      </c>
      <c r="O1196" s="11" t="s">
        <v>75</v>
      </c>
    </row>
    <row r="1197" spans="2:15" ht="21" customHeight="1" x14ac:dyDescent="0.3">
      <c r="B1197" s="4" t="s">
        <v>14</v>
      </c>
      <c r="C1197" s="5">
        <v>28</v>
      </c>
      <c r="D1197" s="6" t="s">
        <v>29</v>
      </c>
      <c r="E1197" s="4" t="s">
        <v>34</v>
      </c>
      <c r="F1197" s="4" t="s">
        <v>46</v>
      </c>
      <c r="G1197" s="7">
        <v>3</v>
      </c>
      <c r="H1197" s="1">
        <v>11000000</v>
      </c>
      <c r="I1197" s="4">
        <v>2</v>
      </c>
      <c r="J1197" s="8">
        <v>8.8541666666666664E-3</v>
      </c>
      <c r="K1197" s="4" t="s">
        <v>18</v>
      </c>
      <c r="L1197" s="4" t="s">
        <v>31</v>
      </c>
      <c r="M1197" s="4" t="s">
        <v>26</v>
      </c>
      <c r="N1197" s="4" t="s">
        <v>21</v>
      </c>
      <c r="O1197" s="4" t="s">
        <v>22</v>
      </c>
    </row>
    <row r="1198" spans="2:15" ht="21" customHeight="1" x14ac:dyDescent="0.3">
      <c r="B1198" s="11" t="s">
        <v>14</v>
      </c>
      <c r="C1198" s="12">
        <v>16</v>
      </c>
      <c r="D1198" s="13" t="s">
        <v>29</v>
      </c>
      <c r="E1198" s="11" t="s">
        <v>30</v>
      </c>
      <c r="F1198" s="11" t="s">
        <v>24</v>
      </c>
      <c r="G1198" s="14">
        <v>5</v>
      </c>
      <c r="H1198" s="15">
        <v>20000000</v>
      </c>
      <c r="I1198" s="11">
        <v>5</v>
      </c>
      <c r="J1198" s="16">
        <v>8.8541666666666664E-3</v>
      </c>
      <c r="K1198" s="11" t="s">
        <v>18</v>
      </c>
      <c r="L1198" s="11" t="s">
        <v>19</v>
      </c>
      <c r="M1198" s="11" t="s">
        <v>44</v>
      </c>
      <c r="N1198" s="11" t="s">
        <v>36</v>
      </c>
      <c r="O1198" s="11" t="s">
        <v>69</v>
      </c>
    </row>
    <row r="1199" spans="2:15" ht="21" customHeight="1" x14ac:dyDescent="0.3">
      <c r="B1199" s="4" t="s">
        <v>14</v>
      </c>
      <c r="C1199" s="5">
        <v>30</v>
      </c>
      <c r="D1199" s="6" t="s">
        <v>29</v>
      </c>
      <c r="E1199" s="4" t="s">
        <v>53</v>
      </c>
      <c r="F1199" s="4" t="s">
        <v>17</v>
      </c>
      <c r="G1199" s="7">
        <v>2</v>
      </c>
      <c r="H1199" s="1">
        <v>10000000</v>
      </c>
      <c r="I1199" s="4">
        <v>1</v>
      </c>
      <c r="J1199" s="8">
        <v>8.8541666666666664E-3</v>
      </c>
      <c r="K1199" s="4" t="s">
        <v>18</v>
      </c>
      <c r="L1199" s="4" t="s">
        <v>19</v>
      </c>
      <c r="M1199" s="4" t="s">
        <v>52</v>
      </c>
      <c r="N1199" s="4" t="s">
        <v>39</v>
      </c>
      <c r="O1199" s="4" t="s">
        <v>71</v>
      </c>
    </row>
    <row r="1200" spans="2:15" ht="21" customHeight="1" x14ac:dyDescent="0.3">
      <c r="B1200" s="11" t="s">
        <v>14</v>
      </c>
      <c r="C1200" s="12">
        <v>8</v>
      </c>
      <c r="D1200" s="13" t="s">
        <v>41</v>
      </c>
      <c r="E1200" s="11" t="s">
        <v>30</v>
      </c>
      <c r="F1200" s="11" t="s">
        <v>46</v>
      </c>
      <c r="G1200" s="14">
        <v>1</v>
      </c>
      <c r="H1200" s="15">
        <v>19000000</v>
      </c>
      <c r="I1200" s="11">
        <v>4</v>
      </c>
      <c r="J1200" s="16">
        <v>8.8541666666666664E-3</v>
      </c>
      <c r="K1200" s="11" t="s">
        <v>50</v>
      </c>
      <c r="L1200" s="11" t="s">
        <v>19</v>
      </c>
      <c r="M1200" s="11" t="s">
        <v>47</v>
      </c>
      <c r="N1200" s="11" t="s">
        <v>39</v>
      </c>
      <c r="O1200" s="11" t="s">
        <v>71</v>
      </c>
    </row>
    <row r="1201" spans="2:15" ht="21" customHeight="1" x14ac:dyDescent="0.3">
      <c r="B1201" s="4" t="s">
        <v>14</v>
      </c>
      <c r="C1201" s="5">
        <v>17</v>
      </c>
      <c r="D1201" s="6" t="s">
        <v>59</v>
      </c>
      <c r="E1201" s="4" t="s">
        <v>30</v>
      </c>
      <c r="F1201" s="4" t="s">
        <v>46</v>
      </c>
      <c r="G1201" s="7">
        <v>2</v>
      </c>
      <c r="H1201" s="1">
        <v>38000000</v>
      </c>
      <c r="I1201" s="4">
        <v>4</v>
      </c>
      <c r="J1201" s="8">
        <v>8.8541666666666664E-3</v>
      </c>
      <c r="K1201" s="4" t="s">
        <v>50</v>
      </c>
      <c r="L1201" s="4" t="s">
        <v>31</v>
      </c>
      <c r="M1201" s="4" t="s">
        <v>35</v>
      </c>
      <c r="N1201" s="4" t="s">
        <v>27</v>
      </c>
      <c r="O1201" s="4" t="s">
        <v>33</v>
      </c>
    </row>
    <row r="1202" spans="2:15" ht="21" customHeight="1" x14ac:dyDescent="0.3">
      <c r="B1202" s="11" t="s">
        <v>14</v>
      </c>
      <c r="C1202" s="12">
        <v>2</v>
      </c>
      <c r="D1202" s="13" t="s">
        <v>63</v>
      </c>
      <c r="E1202" s="11" t="s">
        <v>16</v>
      </c>
      <c r="F1202" s="11" t="s">
        <v>46</v>
      </c>
      <c r="G1202" s="14">
        <v>5</v>
      </c>
      <c r="H1202" s="15">
        <v>25000000</v>
      </c>
      <c r="I1202" s="11">
        <v>1</v>
      </c>
      <c r="J1202" s="16">
        <v>8.8541666666666664E-3</v>
      </c>
      <c r="K1202" s="11" t="s">
        <v>18</v>
      </c>
      <c r="L1202" s="11" t="s">
        <v>19</v>
      </c>
      <c r="M1202" s="11" t="s">
        <v>55</v>
      </c>
      <c r="N1202" s="11" t="s">
        <v>21</v>
      </c>
      <c r="O1202" s="11" t="s">
        <v>22</v>
      </c>
    </row>
    <row r="1203" spans="2:15" ht="21" customHeight="1" x14ac:dyDescent="0.3">
      <c r="B1203" s="4" t="s">
        <v>14</v>
      </c>
      <c r="C1203" s="5">
        <v>5</v>
      </c>
      <c r="D1203" s="6" t="s">
        <v>23</v>
      </c>
      <c r="E1203" s="4" t="s">
        <v>16</v>
      </c>
      <c r="F1203" s="4" t="s">
        <v>17</v>
      </c>
      <c r="G1203" s="7">
        <v>4</v>
      </c>
      <c r="H1203" s="1">
        <v>20000000</v>
      </c>
      <c r="I1203" s="4">
        <v>3</v>
      </c>
      <c r="J1203" s="8">
        <v>8.8541666666666664E-3</v>
      </c>
      <c r="K1203" s="4" t="s">
        <v>65</v>
      </c>
      <c r="L1203" s="4" t="s">
        <v>51</v>
      </c>
      <c r="M1203" s="4" t="s">
        <v>35</v>
      </c>
      <c r="N1203" s="4" t="s">
        <v>21</v>
      </c>
      <c r="O1203" s="4" t="s">
        <v>70</v>
      </c>
    </row>
    <row r="1204" spans="2:15" ht="21" customHeight="1" x14ac:dyDescent="0.3">
      <c r="B1204" s="11" t="s">
        <v>74</v>
      </c>
      <c r="C1204" s="12">
        <v>22</v>
      </c>
      <c r="D1204" s="13" t="s">
        <v>29</v>
      </c>
      <c r="E1204" s="11" t="s">
        <v>42</v>
      </c>
      <c r="F1204" s="11" t="s">
        <v>24</v>
      </c>
      <c r="G1204" s="14">
        <v>0</v>
      </c>
      <c r="H1204" s="15">
        <v>0</v>
      </c>
      <c r="I1204" s="11">
        <v>3</v>
      </c>
      <c r="J1204" s="16">
        <v>8.8541666666666664E-3</v>
      </c>
      <c r="K1204" s="11"/>
      <c r="L1204" s="11"/>
      <c r="M1204" s="11" t="s">
        <v>32</v>
      </c>
      <c r="N1204" s="11" t="s">
        <v>27</v>
      </c>
      <c r="O1204" s="11" t="s">
        <v>33</v>
      </c>
    </row>
    <row r="1205" spans="2:15" ht="21" customHeight="1" x14ac:dyDescent="0.3">
      <c r="B1205" s="4" t="s">
        <v>74</v>
      </c>
      <c r="C1205" s="5">
        <v>25</v>
      </c>
      <c r="D1205" s="6" t="s">
        <v>41</v>
      </c>
      <c r="E1205" s="4" t="s">
        <v>42</v>
      </c>
      <c r="F1205" s="4" t="s">
        <v>24</v>
      </c>
      <c r="G1205" s="7">
        <v>0</v>
      </c>
      <c r="H1205" s="1">
        <v>0</v>
      </c>
      <c r="I1205" s="4">
        <v>5</v>
      </c>
      <c r="J1205" s="8">
        <v>8.8541666666666664E-3</v>
      </c>
      <c r="K1205" s="4"/>
      <c r="L1205" s="4"/>
      <c r="M1205" s="4" t="s">
        <v>47</v>
      </c>
      <c r="N1205" s="4" t="s">
        <v>21</v>
      </c>
      <c r="O1205" s="4" t="s">
        <v>22</v>
      </c>
    </row>
    <row r="1206" spans="2:15" ht="21" customHeight="1" x14ac:dyDescent="0.3">
      <c r="B1206" s="11" t="s">
        <v>74</v>
      </c>
      <c r="C1206" s="12">
        <v>16</v>
      </c>
      <c r="D1206" s="13" t="s">
        <v>48</v>
      </c>
      <c r="E1206" s="11" t="s">
        <v>16</v>
      </c>
      <c r="F1206" s="11" t="s">
        <v>46</v>
      </c>
      <c r="G1206" s="14">
        <v>0</v>
      </c>
      <c r="H1206" s="15">
        <v>0</v>
      </c>
      <c r="I1206" s="11">
        <v>3</v>
      </c>
      <c r="J1206" s="16">
        <v>8.8541666666666664E-3</v>
      </c>
      <c r="K1206" s="11"/>
      <c r="L1206" s="11"/>
      <c r="M1206" s="11" t="s">
        <v>35</v>
      </c>
      <c r="N1206" s="11" t="s">
        <v>39</v>
      </c>
      <c r="O1206" s="11" t="s">
        <v>71</v>
      </c>
    </row>
    <row r="1207" spans="2:15" ht="21" customHeight="1" x14ac:dyDescent="0.3">
      <c r="B1207" s="4" t="s">
        <v>74</v>
      </c>
      <c r="C1207" s="5">
        <v>30</v>
      </c>
      <c r="D1207" s="6" t="s">
        <v>48</v>
      </c>
      <c r="E1207" s="4" t="s">
        <v>34</v>
      </c>
      <c r="F1207" s="4" t="s">
        <v>46</v>
      </c>
      <c r="G1207" s="7">
        <v>0</v>
      </c>
      <c r="H1207" s="1">
        <v>0</v>
      </c>
      <c r="I1207" s="4">
        <v>5</v>
      </c>
      <c r="J1207" s="8">
        <v>8.8541666666666664E-3</v>
      </c>
      <c r="K1207" s="4"/>
      <c r="L1207" s="4"/>
      <c r="M1207" s="4" t="s">
        <v>52</v>
      </c>
      <c r="N1207" s="4" t="s">
        <v>27</v>
      </c>
      <c r="O1207" s="4" t="s">
        <v>56</v>
      </c>
    </row>
    <row r="1208" spans="2:15" ht="21" customHeight="1" x14ac:dyDescent="0.3">
      <c r="B1208" s="11" t="s">
        <v>74</v>
      </c>
      <c r="C1208" s="12">
        <v>1</v>
      </c>
      <c r="D1208" s="13" t="s">
        <v>73</v>
      </c>
      <c r="E1208" s="11" t="s">
        <v>30</v>
      </c>
      <c r="F1208" s="11" t="s">
        <v>17</v>
      </c>
      <c r="G1208" s="14">
        <v>0</v>
      </c>
      <c r="H1208" s="15">
        <v>0</v>
      </c>
      <c r="I1208" s="11">
        <v>2</v>
      </c>
      <c r="J1208" s="16">
        <v>8.8541666666666664E-3</v>
      </c>
      <c r="K1208" s="11"/>
      <c r="L1208" s="11"/>
      <c r="M1208" s="11" t="s">
        <v>26</v>
      </c>
      <c r="N1208" s="11" t="s">
        <v>27</v>
      </c>
      <c r="O1208" s="11" t="s">
        <v>28</v>
      </c>
    </row>
    <row r="1209" spans="2:15" ht="21" customHeight="1" x14ac:dyDescent="0.3">
      <c r="B1209" s="4" t="s">
        <v>14</v>
      </c>
      <c r="C1209" s="5">
        <v>13</v>
      </c>
      <c r="D1209" s="6" t="s">
        <v>61</v>
      </c>
      <c r="E1209" s="4" t="s">
        <v>34</v>
      </c>
      <c r="F1209" s="4" t="s">
        <v>17</v>
      </c>
      <c r="G1209" s="7">
        <v>1</v>
      </c>
      <c r="H1209" s="1">
        <v>7000000</v>
      </c>
      <c r="I1209" s="4">
        <v>6</v>
      </c>
      <c r="J1209" s="8">
        <v>8.9699074074074073E-3</v>
      </c>
      <c r="K1209" s="4" t="s">
        <v>18</v>
      </c>
      <c r="L1209" s="4" t="s">
        <v>51</v>
      </c>
      <c r="M1209" s="4" t="s">
        <v>35</v>
      </c>
      <c r="N1209" s="4" t="s">
        <v>39</v>
      </c>
      <c r="O1209" s="4" t="s">
        <v>40</v>
      </c>
    </row>
    <row r="1210" spans="2:15" ht="21" customHeight="1" x14ac:dyDescent="0.3">
      <c r="B1210" s="11" t="s">
        <v>14</v>
      </c>
      <c r="C1210" s="12">
        <v>10</v>
      </c>
      <c r="D1210" s="13" t="s">
        <v>15</v>
      </c>
      <c r="E1210" s="11" t="s">
        <v>53</v>
      </c>
      <c r="F1210" s="11" t="s">
        <v>17</v>
      </c>
      <c r="G1210" s="14">
        <v>3</v>
      </c>
      <c r="H1210" s="15">
        <v>15000000</v>
      </c>
      <c r="I1210" s="11">
        <v>1</v>
      </c>
      <c r="J1210" s="16">
        <v>8.9699074074074073E-3</v>
      </c>
      <c r="K1210" s="11" t="s">
        <v>18</v>
      </c>
      <c r="L1210" s="11" t="s">
        <v>60</v>
      </c>
      <c r="M1210" s="11" t="s">
        <v>32</v>
      </c>
      <c r="N1210" s="11" t="s">
        <v>21</v>
      </c>
      <c r="O1210" s="11" t="s">
        <v>66</v>
      </c>
    </row>
    <row r="1211" spans="2:15" ht="21" customHeight="1" x14ac:dyDescent="0.3">
      <c r="B1211" s="4" t="s">
        <v>14</v>
      </c>
      <c r="C1211" s="5">
        <v>9</v>
      </c>
      <c r="D1211" s="6" t="s">
        <v>76</v>
      </c>
      <c r="E1211" s="4" t="s">
        <v>16</v>
      </c>
      <c r="F1211" s="4" t="s">
        <v>46</v>
      </c>
      <c r="G1211" s="7">
        <v>4</v>
      </c>
      <c r="H1211" s="1">
        <v>11000000</v>
      </c>
      <c r="I1211" s="4">
        <v>1</v>
      </c>
      <c r="J1211" s="8">
        <v>8.9699074074074073E-3</v>
      </c>
      <c r="K1211" s="4" t="s">
        <v>65</v>
      </c>
      <c r="L1211" s="4" t="s">
        <v>19</v>
      </c>
      <c r="M1211" s="4" t="s">
        <v>35</v>
      </c>
      <c r="N1211" s="4" t="s">
        <v>21</v>
      </c>
      <c r="O1211" s="4" t="s">
        <v>67</v>
      </c>
    </row>
    <row r="1212" spans="2:15" ht="21" customHeight="1" x14ac:dyDescent="0.3">
      <c r="B1212" s="11" t="s">
        <v>14</v>
      </c>
      <c r="C1212" s="12">
        <v>21</v>
      </c>
      <c r="D1212" s="13" t="s">
        <v>29</v>
      </c>
      <c r="E1212" s="11" t="s">
        <v>16</v>
      </c>
      <c r="F1212" s="11" t="s">
        <v>24</v>
      </c>
      <c r="G1212" s="14">
        <v>2</v>
      </c>
      <c r="H1212" s="15">
        <v>38000000</v>
      </c>
      <c r="I1212" s="11">
        <v>3</v>
      </c>
      <c r="J1212" s="16">
        <v>8.9699074074074073E-3</v>
      </c>
      <c r="K1212" s="11" t="s">
        <v>50</v>
      </c>
      <c r="L1212" s="11" t="s">
        <v>43</v>
      </c>
      <c r="M1212" s="11" t="s">
        <v>26</v>
      </c>
      <c r="N1212" s="11" t="s">
        <v>27</v>
      </c>
      <c r="O1212" s="11" t="s">
        <v>56</v>
      </c>
    </row>
    <row r="1213" spans="2:15" ht="21" customHeight="1" x14ac:dyDescent="0.3">
      <c r="B1213" s="4" t="s">
        <v>14</v>
      </c>
      <c r="C1213" s="5">
        <v>30</v>
      </c>
      <c r="D1213" s="6" t="s">
        <v>29</v>
      </c>
      <c r="E1213" s="4" t="s">
        <v>42</v>
      </c>
      <c r="F1213" s="4" t="s">
        <v>46</v>
      </c>
      <c r="G1213" s="7">
        <v>3</v>
      </c>
      <c r="H1213" s="1">
        <v>15000000</v>
      </c>
      <c r="I1213" s="4">
        <v>5</v>
      </c>
      <c r="J1213" s="8">
        <v>8.9699074074074073E-3</v>
      </c>
      <c r="K1213" s="4" t="s">
        <v>18</v>
      </c>
      <c r="L1213" s="4" t="s">
        <v>19</v>
      </c>
      <c r="M1213" s="4" t="s">
        <v>55</v>
      </c>
      <c r="N1213" s="4" t="s">
        <v>27</v>
      </c>
      <c r="O1213" s="4" t="s">
        <v>79</v>
      </c>
    </row>
    <row r="1214" spans="2:15" ht="21" customHeight="1" x14ac:dyDescent="0.3">
      <c r="B1214" s="11" t="s">
        <v>14</v>
      </c>
      <c r="C1214" s="12">
        <v>13</v>
      </c>
      <c r="D1214" s="13" t="s">
        <v>41</v>
      </c>
      <c r="E1214" s="11" t="s">
        <v>16</v>
      </c>
      <c r="F1214" s="11" t="s">
        <v>46</v>
      </c>
      <c r="G1214" s="14">
        <v>2</v>
      </c>
      <c r="H1214" s="15">
        <v>38000000</v>
      </c>
      <c r="I1214" s="11">
        <v>1</v>
      </c>
      <c r="J1214" s="16">
        <v>8.9699074074074073E-3</v>
      </c>
      <c r="K1214" s="11" t="s">
        <v>50</v>
      </c>
      <c r="L1214" s="11" t="s">
        <v>54</v>
      </c>
      <c r="M1214" s="11" t="s">
        <v>55</v>
      </c>
      <c r="N1214" s="11" t="s">
        <v>39</v>
      </c>
      <c r="O1214" s="11" t="s">
        <v>71</v>
      </c>
    </row>
    <row r="1215" spans="2:15" ht="21" customHeight="1" x14ac:dyDescent="0.3">
      <c r="B1215" s="4" t="s">
        <v>14</v>
      </c>
      <c r="C1215" s="5">
        <v>2</v>
      </c>
      <c r="D1215" s="6" t="s">
        <v>41</v>
      </c>
      <c r="E1215" s="4" t="s">
        <v>16</v>
      </c>
      <c r="F1215" s="4" t="s">
        <v>24</v>
      </c>
      <c r="G1215" s="7">
        <v>2</v>
      </c>
      <c r="H1215" s="1">
        <v>10000000</v>
      </c>
      <c r="I1215" s="4">
        <v>5</v>
      </c>
      <c r="J1215" s="8">
        <v>8.9699074074074073E-3</v>
      </c>
      <c r="K1215" s="4" t="s">
        <v>18</v>
      </c>
      <c r="L1215" s="4" t="s">
        <v>19</v>
      </c>
      <c r="M1215" s="4" t="s">
        <v>32</v>
      </c>
      <c r="N1215" s="4" t="s">
        <v>21</v>
      </c>
      <c r="O1215" s="4" t="s">
        <v>57</v>
      </c>
    </row>
    <row r="1216" spans="2:15" ht="21" customHeight="1" x14ac:dyDescent="0.3">
      <c r="B1216" s="11" t="s">
        <v>14</v>
      </c>
      <c r="C1216" s="12">
        <v>4</v>
      </c>
      <c r="D1216" s="13" t="s">
        <v>41</v>
      </c>
      <c r="E1216" s="11" t="s">
        <v>30</v>
      </c>
      <c r="F1216" s="11" t="s">
        <v>24</v>
      </c>
      <c r="G1216" s="14">
        <v>4</v>
      </c>
      <c r="H1216" s="15">
        <v>20000000</v>
      </c>
      <c r="I1216" s="11">
        <v>2</v>
      </c>
      <c r="J1216" s="16">
        <v>8.9699074074074073E-3</v>
      </c>
      <c r="K1216" s="11" t="s">
        <v>18</v>
      </c>
      <c r="L1216" s="11" t="s">
        <v>31</v>
      </c>
      <c r="M1216" s="11" t="s">
        <v>32</v>
      </c>
      <c r="N1216" s="11" t="s">
        <v>36</v>
      </c>
      <c r="O1216" s="11" t="s">
        <v>58</v>
      </c>
    </row>
    <row r="1217" spans="2:15" ht="21" customHeight="1" x14ac:dyDescent="0.3">
      <c r="B1217" s="4" t="s">
        <v>14</v>
      </c>
      <c r="C1217" s="5">
        <v>6</v>
      </c>
      <c r="D1217" s="6" t="s">
        <v>41</v>
      </c>
      <c r="E1217" s="4" t="s">
        <v>42</v>
      </c>
      <c r="F1217" s="4" t="s">
        <v>49</v>
      </c>
      <c r="G1217" s="7">
        <v>2</v>
      </c>
      <c r="H1217" s="1">
        <v>12000000</v>
      </c>
      <c r="I1217" s="4">
        <v>2</v>
      </c>
      <c r="J1217" s="8">
        <v>8.9699074074074073E-3</v>
      </c>
      <c r="K1217" s="4" t="s">
        <v>18</v>
      </c>
      <c r="L1217" s="4" t="s">
        <v>60</v>
      </c>
      <c r="M1217" s="4" t="s">
        <v>32</v>
      </c>
      <c r="N1217" s="4" t="s">
        <v>27</v>
      </c>
      <c r="O1217" s="4" t="s">
        <v>28</v>
      </c>
    </row>
    <row r="1218" spans="2:15" ht="21" customHeight="1" x14ac:dyDescent="0.3">
      <c r="B1218" s="11" t="s">
        <v>14</v>
      </c>
      <c r="C1218" s="12">
        <v>23</v>
      </c>
      <c r="D1218" s="13" t="s">
        <v>41</v>
      </c>
      <c r="E1218" s="11" t="s">
        <v>77</v>
      </c>
      <c r="F1218" s="11" t="s">
        <v>17</v>
      </c>
      <c r="G1218" s="14">
        <v>3</v>
      </c>
      <c r="H1218" s="15">
        <v>15000000</v>
      </c>
      <c r="I1218" s="11">
        <v>1</v>
      </c>
      <c r="J1218" s="16">
        <v>8.9699074074074073E-3</v>
      </c>
      <c r="K1218" s="11" t="s">
        <v>18</v>
      </c>
      <c r="L1218" s="11" t="s">
        <v>38</v>
      </c>
      <c r="M1218" s="11" t="s">
        <v>55</v>
      </c>
      <c r="N1218" s="11" t="s">
        <v>21</v>
      </c>
      <c r="O1218" s="11" t="s">
        <v>70</v>
      </c>
    </row>
    <row r="1219" spans="2:15" ht="21" customHeight="1" x14ac:dyDescent="0.3">
      <c r="B1219" s="4" t="s">
        <v>14</v>
      </c>
      <c r="C1219" s="5">
        <v>8</v>
      </c>
      <c r="D1219" s="6" t="s">
        <v>41</v>
      </c>
      <c r="E1219" s="4" t="s">
        <v>42</v>
      </c>
      <c r="F1219" s="4" t="s">
        <v>46</v>
      </c>
      <c r="G1219" s="7">
        <v>2</v>
      </c>
      <c r="H1219" s="1">
        <v>12000000</v>
      </c>
      <c r="I1219" s="4">
        <v>2</v>
      </c>
      <c r="J1219" s="8">
        <v>8.9699074074074073E-3</v>
      </c>
      <c r="K1219" s="4" t="s">
        <v>18</v>
      </c>
      <c r="L1219" s="4" t="s">
        <v>43</v>
      </c>
      <c r="M1219" s="4" t="s">
        <v>44</v>
      </c>
      <c r="N1219" s="4" t="s">
        <v>21</v>
      </c>
      <c r="O1219" s="4" t="s">
        <v>22</v>
      </c>
    </row>
    <row r="1220" spans="2:15" ht="21" customHeight="1" x14ac:dyDescent="0.3">
      <c r="B1220" s="11" t="s">
        <v>14</v>
      </c>
      <c r="C1220" s="12">
        <v>1</v>
      </c>
      <c r="D1220" s="13" t="s">
        <v>41</v>
      </c>
      <c r="E1220" s="11" t="s">
        <v>30</v>
      </c>
      <c r="F1220" s="11" t="s">
        <v>24</v>
      </c>
      <c r="G1220" s="14">
        <v>2</v>
      </c>
      <c r="H1220" s="15">
        <v>12000000</v>
      </c>
      <c r="I1220" s="11">
        <v>2</v>
      </c>
      <c r="J1220" s="16">
        <v>8.9699074074074073E-3</v>
      </c>
      <c r="K1220" s="11" t="s">
        <v>18</v>
      </c>
      <c r="L1220" s="11" t="s">
        <v>19</v>
      </c>
      <c r="M1220" s="11" t="s">
        <v>47</v>
      </c>
      <c r="N1220" s="11" t="s">
        <v>27</v>
      </c>
      <c r="O1220" s="11" t="s">
        <v>28</v>
      </c>
    </row>
    <row r="1221" spans="2:15" ht="21" customHeight="1" x14ac:dyDescent="0.3">
      <c r="B1221" s="4" t="s">
        <v>14</v>
      </c>
      <c r="C1221" s="5">
        <v>20</v>
      </c>
      <c r="D1221" s="6" t="s">
        <v>41</v>
      </c>
      <c r="E1221" s="4" t="s">
        <v>42</v>
      </c>
      <c r="F1221" s="4" t="s">
        <v>24</v>
      </c>
      <c r="G1221" s="7">
        <v>5</v>
      </c>
      <c r="H1221" s="1">
        <v>21000000</v>
      </c>
      <c r="I1221" s="4">
        <v>2</v>
      </c>
      <c r="J1221" s="8">
        <v>8.9699074074074073E-3</v>
      </c>
      <c r="K1221" s="4" t="s">
        <v>18</v>
      </c>
      <c r="L1221" s="4" t="s">
        <v>60</v>
      </c>
      <c r="M1221" s="4" t="s">
        <v>47</v>
      </c>
      <c r="N1221" s="4" t="s">
        <v>21</v>
      </c>
      <c r="O1221" s="4" t="s">
        <v>57</v>
      </c>
    </row>
    <row r="1222" spans="2:15" ht="21" customHeight="1" x14ac:dyDescent="0.3">
      <c r="B1222" s="11" t="s">
        <v>14</v>
      </c>
      <c r="C1222" s="12">
        <v>11</v>
      </c>
      <c r="D1222" s="13" t="s">
        <v>48</v>
      </c>
      <c r="E1222" s="11" t="s">
        <v>34</v>
      </c>
      <c r="F1222" s="11" t="s">
        <v>46</v>
      </c>
      <c r="G1222" s="14">
        <v>2</v>
      </c>
      <c r="H1222" s="15">
        <v>12000000</v>
      </c>
      <c r="I1222" s="11">
        <v>1</v>
      </c>
      <c r="J1222" s="16">
        <v>8.9699074074074073E-3</v>
      </c>
      <c r="K1222" s="11" t="s">
        <v>18</v>
      </c>
      <c r="L1222" s="11" t="s">
        <v>31</v>
      </c>
      <c r="M1222" s="11" t="s">
        <v>20</v>
      </c>
      <c r="N1222" s="11" t="s">
        <v>21</v>
      </c>
      <c r="O1222" s="11" t="s">
        <v>22</v>
      </c>
    </row>
    <row r="1223" spans="2:15" ht="21" customHeight="1" x14ac:dyDescent="0.3">
      <c r="B1223" s="4" t="s">
        <v>14</v>
      </c>
      <c r="C1223" s="5">
        <v>3</v>
      </c>
      <c r="D1223" s="6" t="s">
        <v>48</v>
      </c>
      <c r="E1223" s="4" t="s">
        <v>77</v>
      </c>
      <c r="F1223" s="4" t="s">
        <v>46</v>
      </c>
      <c r="G1223" s="7">
        <v>5</v>
      </c>
      <c r="H1223" s="1">
        <v>25000000</v>
      </c>
      <c r="I1223" s="4">
        <v>1</v>
      </c>
      <c r="J1223" s="8">
        <v>8.9699074074074073E-3</v>
      </c>
      <c r="K1223" s="4" t="s">
        <v>18</v>
      </c>
      <c r="L1223" s="4" t="s">
        <v>25</v>
      </c>
      <c r="M1223" s="4" t="s">
        <v>47</v>
      </c>
      <c r="N1223" s="4" t="s">
        <v>27</v>
      </c>
      <c r="O1223" s="4" t="s">
        <v>56</v>
      </c>
    </row>
    <row r="1224" spans="2:15" ht="21" customHeight="1" x14ac:dyDescent="0.3">
      <c r="B1224" s="11" t="s">
        <v>14</v>
      </c>
      <c r="C1224" s="12">
        <v>30</v>
      </c>
      <c r="D1224" s="13" t="s">
        <v>73</v>
      </c>
      <c r="E1224" s="11" t="s">
        <v>42</v>
      </c>
      <c r="F1224" s="11" t="s">
        <v>24</v>
      </c>
      <c r="G1224" s="14">
        <v>1</v>
      </c>
      <c r="H1224" s="15">
        <v>19000000</v>
      </c>
      <c r="I1224" s="11">
        <v>2</v>
      </c>
      <c r="J1224" s="16">
        <v>8.9699074074074073E-3</v>
      </c>
      <c r="K1224" s="11" t="s">
        <v>50</v>
      </c>
      <c r="L1224" s="11" t="s">
        <v>31</v>
      </c>
      <c r="M1224" s="11" t="s">
        <v>52</v>
      </c>
      <c r="N1224" s="11" t="s">
        <v>27</v>
      </c>
      <c r="O1224" s="11" t="s">
        <v>79</v>
      </c>
    </row>
    <row r="1225" spans="2:15" ht="21" customHeight="1" x14ac:dyDescent="0.3">
      <c r="B1225" s="4" t="s">
        <v>14</v>
      </c>
      <c r="C1225" s="5">
        <v>28</v>
      </c>
      <c r="D1225" s="6" t="s">
        <v>73</v>
      </c>
      <c r="E1225" s="4" t="s">
        <v>42</v>
      </c>
      <c r="F1225" s="4" t="s">
        <v>17</v>
      </c>
      <c r="G1225" s="7">
        <v>4</v>
      </c>
      <c r="H1225" s="1">
        <v>20000000</v>
      </c>
      <c r="I1225" s="4">
        <v>1</v>
      </c>
      <c r="J1225" s="8">
        <v>8.9699074074074073E-3</v>
      </c>
      <c r="K1225" s="4" t="s">
        <v>65</v>
      </c>
      <c r="L1225" s="4" t="s">
        <v>31</v>
      </c>
      <c r="M1225" s="4" t="s">
        <v>35</v>
      </c>
      <c r="N1225" s="4" t="s">
        <v>39</v>
      </c>
      <c r="O1225" s="4" t="s">
        <v>40</v>
      </c>
    </row>
    <row r="1226" spans="2:15" ht="21" customHeight="1" x14ac:dyDescent="0.3">
      <c r="B1226" s="11" t="s">
        <v>14</v>
      </c>
      <c r="C1226" s="12">
        <v>1</v>
      </c>
      <c r="D1226" s="13" t="s">
        <v>73</v>
      </c>
      <c r="E1226" s="11" t="s">
        <v>16</v>
      </c>
      <c r="F1226" s="11" t="s">
        <v>46</v>
      </c>
      <c r="G1226" s="14">
        <v>5</v>
      </c>
      <c r="H1226" s="15">
        <v>25000000</v>
      </c>
      <c r="I1226" s="11">
        <v>3</v>
      </c>
      <c r="J1226" s="16">
        <v>8.9699074074074073E-3</v>
      </c>
      <c r="K1226" s="11" t="s">
        <v>18</v>
      </c>
      <c r="L1226" s="11" t="s">
        <v>25</v>
      </c>
      <c r="M1226" s="11" t="s">
        <v>32</v>
      </c>
      <c r="N1226" s="11" t="s">
        <v>39</v>
      </c>
      <c r="O1226" s="11" t="s">
        <v>40</v>
      </c>
    </row>
    <row r="1227" spans="2:15" ht="21" customHeight="1" x14ac:dyDescent="0.3">
      <c r="B1227" s="4" t="s">
        <v>14</v>
      </c>
      <c r="C1227" s="5">
        <v>30</v>
      </c>
      <c r="D1227" s="6" t="s">
        <v>73</v>
      </c>
      <c r="E1227" s="4" t="s">
        <v>30</v>
      </c>
      <c r="F1227" s="4" t="s">
        <v>46</v>
      </c>
      <c r="G1227" s="7">
        <v>1</v>
      </c>
      <c r="H1227" s="1">
        <v>7000000</v>
      </c>
      <c r="I1227" s="4">
        <v>1</v>
      </c>
      <c r="J1227" s="8">
        <v>8.9699074074074073E-3</v>
      </c>
      <c r="K1227" s="4" t="s">
        <v>18</v>
      </c>
      <c r="L1227" s="4" t="s">
        <v>60</v>
      </c>
      <c r="M1227" s="4" t="s">
        <v>32</v>
      </c>
      <c r="N1227" s="4" t="s">
        <v>21</v>
      </c>
      <c r="O1227" s="4" t="s">
        <v>66</v>
      </c>
    </row>
    <row r="1228" spans="2:15" ht="21" customHeight="1" x14ac:dyDescent="0.3">
      <c r="B1228" s="11" t="s">
        <v>14</v>
      </c>
      <c r="C1228" s="12">
        <v>13</v>
      </c>
      <c r="D1228" s="13" t="s">
        <v>61</v>
      </c>
      <c r="E1228" s="11" t="s">
        <v>34</v>
      </c>
      <c r="F1228" s="11" t="s">
        <v>17</v>
      </c>
      <c r="G1228" s="14">
        <v>1</v>
      </c>
      <c r="H1228" s="15">
        <v>7000000</v>
      </c>
      <c r="I1228" s="11">
        <v>6</v>
      </c>
      <c r="J1228" s="16">
        <v>8.9699074074074073E-3</v>
      </c>
      <c r="K1228" s="11" t="s">
        <v>18</v>
      </c>
      <c r="L1228" s="11" t="s">
        <v>51</v>
      </c>
      <c r="M1228" s="11" t="s">
        <v>35</v>
      </c>
      <c r="N1228" s="11" t="s">
        <v>39</v>
      </c>
      <c r="O1228" s="11" t="s">
        <v>40</v>
      </c>
    </row>
    <row r="1229" spans="2:15" ht="21" customHeight="1" x14ac:dyDescent="0.3">
      <c r="B1229" s="4" t="s">
        <v>14</v>
      </c>
      <c r="C1229" s="5">
        <v>10</v>
      </c>
      <c r="D1229" s="6" t="s">
        <v>15</v>
      </c>
      <c r="E1229" s="4" t="s">
        <v>53</v>
      </c>
      <c r="F1229" s="4" t="s">
        <v>17</v>
      </c>
      <c r="G1229" s="7">
        <v>3</v>
      </c>
      <c r="H1229" s="1">
        <v>15000000</v>
      </c>
      <c r="I1229" s="4">
        <v>1</v>
      </c>
      <c r="J1229" s="8">
        <v>8.9699074074074073E-3</v>
      </c>
      <c r="K1229" s="4" t="s">
        <v>18</v>
      </c>
      <c r="L1229" s="4" t="s">
        <v>60</v>
      </c>
      <c r="M1229" s="4" t="s">
        <v>32</v>
      </c>
      <c r="N1229" s="4" t="s">
        <v>21</v>
      </c>
      <c r="O1229" s="4" t="s">
        <v>66</v>
      </c>
    </row>
    <row r="1230" spans="2:15" ht="21" customHeight="1" x14ac:dyDescent="0.3">
      <c r="B1230" s="11" t="s">
        <v>14</v>
      </c>
      <c r="C1230" s="12">
        <v>9</v>
      </c>
      <c r="D1230" s="13" t="s">
        <v>76</v>
      </c>
      <c r="E1230" s="11" t="s">
        <v>16</v>
      </c>
      <c r="F1230" s="11" t="s">
        <v>46</v>
      </c>
      <c r="G1230" s="14">
        <v>4</v>
      </c>
      <c r="H1230" s="15">
        <v>11000000</v>
      </c>
      <c r="I1230" s="11">
        <v>1</v>
      </c>
      <c r="J1230" s="16">
        <v>8.9699074074074073E-3</v>
      </c>
      <c r="K1230" s="11" t="s">
        <v>65</v>
      </c>
      <c r="L1230" s="11" t="s">
        <v>19</v>
      </c>
      <c r="M1230" s="11" t="s">
        <v>35</v>
      </c>
      <c r="N1230" s="11" t="s">
        <v>21</v>
      </c>
      <c r="O1230" s="11" t="s">
        <v>67</v>
      </c>
    </row>
    <row r="1231" spans="2:15" ht="21" customHeight="1" x14ac:dyDescent="0.3">
      <c r="B1231" s="4" t="s">
        <v>74</v>
      </c>
      <c r="C1231" s="5">
        <v>11</v>
      </c>
      <c r="D1231" s="6" t="s">
        <v>61</v>
      </c>
      <c r="E1231" s="4" t="s">
        <v>34</v>
      </c>
      <c r="F1231" s="4" t="s">
        <v>24</v>
      </c>
      <c r="G1231" s="7">
        <v>0</v>
      </c>
      <c r="H1231" s="1">
        <v>0</v>
      </c>
      <c r="I1231" s="4">
        <v>2</v>
      </c>
      <c r="J1231" s="8">
        <v>8.9699074074074073E-3</v>
      </c>
      <c r="K1231" s="4"/>
      <c r="L1231" s="4"/>
      <c r="M1231" s="4" t="s">
        <v>52</v>
      </c>
      <c r="N1231" s="4" t="s">
        <v>27</v>
      </c>
      <c r="O1231" s="4" t="s">
        <v>56</v>
      </c>
    </row>
    <row r="1232" spans="2:15" ht="21" customHeight="1" x14ac:dyDescent="0.3">
      <c r="B1232" s="11" t="s">
        <v>74</v>
      </c>
      <c r="C1232" s="12">
        <v>12</v>
      </c>
      <c r="D1232" s="13" t="s">
        <v>62</v>
      </c>
      <c r="E1232" s="11" t="s">
        <v>16</v>
      </c>
      <c r="F1232" s="11" t="s">
        <v>24</v>
      </c>
      <c r="G1232" s="14">
        <v>0</v>
      </c>
      <c r="H1232" s="15">
        <v>0</v>
      </c>
      <c r="I1232" s="11">
        <v>2</v>
      </c>
      <c r="J1232" s="16">
        <v>8.9699074074074073E-3</v>
      </c>
      <c r="K1232" s="11"/>
      <c r="L1232" s="11"/>
      <c r="M1232" s="11" t="s">
        <v>52</v>
      </c>
      <c r="N1232" s="11" t="s">
        <v>36</v>
      </c>
      <c r="O1232" s="11" t="s">
        <v>58</v>
      </c>
    </row>
    <row r="1233" spans="2:15" ht="21" customHeight="1" x14ac:dyDescent="0.3">
      <c r="B1233" s="4" t="s">
        <v>74</v>
      </c>
      <c r="C1233" s="5">
        <v>30</v>
      </c>
      <c r="D1233" s="6" t="s">
        <v>29</v>
      </c>
      <c r="E1233" s="4" t="s">
        <v>34</v>
      </c>
      <c r="F1233" s="4" t="s">
        <v>72</v>
      </c>
      <c r="G1233" s="7">
        <v>0</v>
      </c>
      <c r="H1233" s="1">
        <v>0</v>
      </c>
      <c r="I1233" s="4">
        <v>2</v>
      </c>
      <c r="J1233" s="8">
        <v>8.9699074074074073E-3</v>
      </c>
      <c r="K1233" s="4"/>
      <c r="L1233" s="4"/>
      <c r="M1233" s="4" t="s">
        <v>55</v>
      </c>
      <c r="N1233" s="4" t="s">
        <v>21</v>
      </c>
      <c r="O1233" s="4" t="s">
        <v>22</v>
      </c>
    </row>
    <row r="1234" spans="2:15" ht="21" customHeight="1" x14ac:dyDescent="0.3">
      <c r="B1234" s="11" t="s">
        <v>74</v>
      </c>
      <c r="C1234" s="12">
        <v>14</v>
      </c>
      <c r="D1234" s="13" t="s">
        <v>41</v>
      </c>
      <c r="E1234" s="11" t="s">
        <v>77</v>
      </c>
      <c r="F1234" s="11" t="s">
        <v>49</v>
      </c>
      <c r="G1234" s="14">
        <v>0</v>
      </c>
      <c r="H1234" s="15">
        <v>0</v>
      </c>
      <c r="I1234" s="11">
        <v>2</v>
      </c>
      <c r="J1234" s="16">
        <v>8.9699074074074073E-3</v>
      </c>
      <c r="K1234" s="11"/>
      <c r="L1234" s="11"/>
      <c r="M1234" s="11" t="s">
        <v>20</v>
      </c>
      <c r="N1234" s="11" t="s">
        <v>36</v>
      </c>
      <c r="O1234" s="11" t="s">
        <v>58</v>
      </c>
    </row>
    <row r="1235" spans="2:15" ht="21" customHeight="1" x14ac:dyDescent="0.3">
      <c r="B1235" s="4" t="s">
        <v>74</v>
      </c>
      <c r="C1235" s="5">
        <v>18</v>
      </c>
      <c r="D1235" s="6" t="s">
        <v>48</v>
      </c>
      <c r="E1235" s="4" t="s">
        <v>34</v>
      </c>
      <c r="F1235" s="4" t="s">
        <v>24</v>
      </c>
      <c r="G1235" s="7">
        <v>0</v>
      </c>
      <c r="H1235" s="1">
        <v>0</v>
      </c>
      <c r="I1235" s="4">
        <v>2</v>
      </c>
      <c r="J1235" s="8">
        <v>8.9699074074074073E-3</v>
      </c>
      <c r="K1235" s="4"/>
      <c r="L1235" s="4"/>
      <c r="M1235" s="4" t="s">
        <v>32</v>
      </c>
      <c r="N1235" s="4" t="s">
        <v>39</v>
      </c>
      <c r="O1235" s="4" t="s">
        <v>40</v>
      </c>
    </row>
    <row r="1236" spans="2:15" ht="21" customHeight="1" x14ac:dyDescent="0.3">
      <c r="B1236" s="11" t="s">
        <v>74</v>
      </c>
      <c r="C1236" s="12">
        <v>24</v>
      </c>
      <c r="D1236" s="13" t="s">
        <v>48</v>
      </c>
      <c r="E1236" s="11" t="s">
        <v>42</v>
      </c>
      <c r="F1236" s="11" t="s">
        <v>46</v>
      </c>
      <c r="G1236" s="14">
        <v>0</v>
      </c>
      <c r="H1236" s="15">
        <v>0</v>
      </c>
      <c r="I1236" s="11">
        <v>2</v>
      </c>
      <c r="J1236" s="16">
        <v>8.9699074074074073E-3</v>
      </c>
      <c r="K1236" s="11"/>
      <c r="L1236" s="11"/>
      <c r="M1236" s="11" t="s">
        <v>20</v>
      </c>
      <c r="N1236" s="11" t="s">
        <v>27</v>
      </c>
      <c r="O1236" s="11" t="s">
        <v>28</v>
      </c>
    </row>
    <row r="1237" spans="2:15" ht="21" customHeight="1" x14ac:dyDescent="0.3">
      <c r="B1237" s="4" t="s">
        <v>74</v>
      </c>
      <c r="C1237" s="5">
        <v>9</v>
      </c>
      <c r="D1237" s="6" t="s">
        <v>73</v>
      </c>
      <c r="E1237" s="4" t="s">
        <v>16</v>
      </c>
      <c r="F1237" s="4" t="s">
        <v>24</v>
      </c>
      <c r="G1237" s="7">
        <v>0</v>
      </c>
      <c r="H1237" s="1">
        <v>0</v>
      </c>
      <c r="I1237" s="4">
        <v>1</v>
      </c>
      <c r="J1237" s="8">
        <v>8.9699074074074073E-3</v>
      </c>
      <c r="K1237" s="4"/>
      <c r="L1237" s="4"/>
      <c r="M1237" s="4" t="s">
        <v>44</v>
      </c>
      <c r="N1237" s="4" t="s">
        <v>27</v>
      </c>
      <c r="O1237" s="4" t="s">
        <v>56</v>
      </c>
    </row>
    <row r="1238" spans="2:15" ht="21" customHeight="1" x14ac:dyDescent="0.3">
      <c r="B1238" s="11" t="s">
        <v>74</v>
      </c>
      <c r="C1238" s="12">
        <v>11</v>
      </c>
      <c r="D1238" s="13" t="s">
        <v>61</v>
      </c>
      <c r="E1238" s="11" t="s">
        <v>34</v>
      </c>
      <c r="F1238" s="11" t="s">
        <v>24</v>
      </c>
      <c r="G1238" s="14">
        <v>0</v>
      </c>
      <c r="H1238" s="15">
        <v>0</v>
      </c>
      <c r="I1238" s="11">
        <v>2</v>
      </c>
      <c r="J1238" s="16">
        <v>8.9699074074074073E-3</v>
      </c>
      <c r="K1238" s="11"/>
      <c r="L1238" s="11"/>
      <c r="M1238" s="11" t="s">
        <v>52</v>
      </c>
      <c r="N1238" s="11" t="s">
        <v>27</v>
      </c>
      <c r="O1238" s="11" t="s">
        <v>56</v>
      </c>
    </row>
    <row r="1239" spans="2:15" ht="21" customHeight="1" x14ac:dyDescent="0.3">
      <c r="B1239" s="4" t="s">
        <v>74</v>
      </c>
      <c r="C1239" s="5">
        <v>12</v>
      </c>
      <c r="D1239" s="6" t="s">
        <v>62</v>
      </c>
      <c r="E1239" s="4" t="s">
        <v>16</v>
      </c>
      <c r="F1239" s="4" t="s">
        <v>24</v>
      </c>
      <c r="G1239" s="7">
        <v>0</v>
      </c>
      <c r="H1239" s="1">
        <v>0</v>
      </c>
      <c r="I1239" s="4">
        <v>2</v>
      </c>
      <c r="J1239" s="8">
        <v>8.9699074074074073E-3</v>
      </c>
      <c r="K1239" s="4"/>
      <c r="L1239" s="4"/>
      <c r="M1239" s="4" t="s">
        <v>52</v>
      </c>
      <c r="N1239" s="4" t="s">
        <v>36</v>
      </c>
      <c r="O1239" s="4" t="s">
        <v>58</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D5C39-310E-4EA4-8E8A-32D3211E1395}">
  <sheetPr codeName="Sheet2">
    <tabColor rgb="FF00B0F0"/>
  </sheetPr>
  <dimension ref="B1:DT182"/>
  <sheetViews>
    <sheetView showGridLines="0" workbookViewId="0">
      <selection activeCell="A6" sqref="A6"/>
    </sheetView>
  </sheetViews>
  <sheetFormatPr defaultRowHeight="13.8" x14ac:dyDescent="0.25"/>
  <cols>
    <col min="1" max="1" width="8.88671875" style="20"/>
    <col min="2" max="2" width="18.21875" style="20" bestFit="1" customWidth="1"/>
    <col min="3" max="3" width="8.109375" style="25" customWidth="1"/>
    <col min="4" max="4" width="15.33203125" style="20" bestFit="1" customWidth="1"/>
    <col min="5" max="5" width="14.5546875" style="20" bestFit="1" customWidth="1"/>
    <col min="6" max="6" width="21.5546875" style="20" bestFit="1" customWidth="1"/>
    <col min="7" max="9" width="8.88671875" style="20"/>
    <col min="10" max="10" width="8.88671875" style="25"/>
    <col min="11" max="11" width="8.88671875" style="20"/>
    <col min="12" max="12" width="14.5546875" style="20" bestFit="1" customWidth="1"/>
    <col min="13" max="13" width="18.21875" style="20" bestFit="1" customWidth="1"/>
    <col min="14" max="15" width="8.88671875" style="20"/>
    <col min="16" max="16" width="14.44140625" style="20" bestFit="1" customWidth="1"/>
    <col min="17" max="17" width="8.88671875" style="20"/>
    <col min="18" max="18" width="8.88671875" style="34"/>
    <col min="19" max="19" width="14.5546875" style="20" bestFit="1" customWidth="1"/>
    <col min="20" max="20" width="18.21875" style="20" bestFit="1" customWidth="1"/>
    <col min="21" max="21" width="19.33203125" style="20" bestFit="1" customWidth="1"/>
    <col min="22" max="23" width="8.88671875" style="20"/>
    <col min="24" max="24" width="14.44140625" style="20" bestFit="1" customWidth="1"/>
    <col min="25" max="25" width="8.88671875" style="20"/>
    <col min="26" max="26" width="8.88671875" style="34"/>
    <col min="27" max="27" width="14.5546875" style="20" bestFit="1" customWidth="1"/>
    <col min="28" max="28" width="21.5546875" style="20" bestFit="1" customWidth="1"/>
    <col min="29" max="29" width="11.5546875" style="20" customWidth="1"/>
    <col min="30" max="30" width="8.88671875" style="20"/>
    <col min="31" max="31" width="10.44140625" style="20" bestFit="1" customWidth="1"/>
    <col min="32" max="33" width="8.88671875" style="20"/>
    <col min="34" max="34" width="8.88671875" style="34"/>
    <col min="35" max="35" width="14.5546875" style="20" bestFit="1" customWidth="1"/>
    <col min="36" max="36" width="25.6640625" style="20" bestFit="1" customWidth="1"/>
    <col min="37" max="37" width="8" style="20" customWidth="1"/>
    <col min="38" max="38" width="29.5546875" style="20" bestFit="1" customWidth="1"/>
    <col min="39" max="39" width="8.88671875" style="20"/>
    <col min="40" max="40" width="25.6640625" style="20" bestFit="1" customWidth="1"/>
    <col min="41" max="41" width="8.88671875" style="20"/>
    <col min="42" max="42" width="8.88671875" style="34"/>
    <col min="43" max="43" width="14.5546875" style="20" bestFit="1" customWidth="1"/>
    <col min="44" max="44" width="20.21875" style="20" bestFit="1" customWidth="1"/>
    <col min="45" max="45" width="8.88671875" style="20"/>
    <col min="46" max="46" width="8.88671875" style="34"/>
    <col min="47" max="47" width="14.5546875" style="20" bestFit="1" customWidth="1"/>
    <col min="48" max="48" width="18.21875" style="20" bestFit="1" customWidth="1"/>
    <col min="49" max="49" width="8.88671875" style="20"/>
    <col min="50" max="50" width="8.88671875" style="34"/>
    <col min="51" max="51" width="14.5546875" style="20" bestFit="1" customWidth="1"/>
    <col min="52" max="52" width="18.21875" style="20" bestFit="1" customWidth="1"/>
    <col min="53" max="53" width="8.88671875" style="20"/>
    <col min="54" max="54" width="14.5546875" style="20" bestFit="1" customWidth="1"/>
    <col min="55" max="55" width="25.6640625" style="20" bestFit="1" customWidth="1"/>
    <col min="56" max="56" width="8.88671875" style="20"/>
    <col min="57" max="57" width="8.88671875" style="34"/>
    <col min="58" max="58" width="14.5546875" style="20" bestFit="1" customWidth="1"/>
    <col min="59" max="59" width="18.21875" style="20" bestFit="1" customWidth="1"/>
    <col min="60" max="61" width="8.88671875" style="20"/>
    <col min="62" max="62" width="18.44140625" style="20" bestFit="1" customWidth="1"/>
    <col min="63" max="63" width="8.88671875" style="20"/>
    <col min="64" max="64" width="8.88671875" style="34"/>
    <col min="65" max="65" width="14.5546875" style="20" bestFit="1" customWidth="1"/>
    <col min="66" max="66" width="33.44140625" style="20" bestFit="1" customWidth="1"/>
    <col min="67" max="75" width="8.88671875" style="20"/>
    <col min="76" max="76" width="8.88671875" style="34"/>
    <col min="77" max="77" width="14.5546875" style="20" bestFit="1" customWidth="1"/>
    <col min="78" max="78" width="18.21875" style="20" bestFit="1" customWidth="1"/>
    <col min="79" max="79" width="19.33203125" style="20" bestFit="1" customWidth="1"/>
    <col min="80" max="80" width="8.88671875" style="20"/>
    <col min="81" max="81" width="14.5546875" style="20" bestFit="1" customWidth="1"/>
    <col min="82" max="82" width="18.21875" style="20" bestFit="1" customWidth="1"/>
    <col min="83" max="83" width="8.88671875" style="20"/>
    <col min="84" max="84" width="8.21875" style="20" bestFit="1" customWidth="1"/>
    <col min="85" max="85" width="12.109375" style="20" bestFit="1" customWidth="1"/>
    <col min="86" max="86" width="8.88671875" style="20"/>
    <col min="87" max="87" width="8.88671875" style="34"/>
    <col min="88" max="88" width="14.5546875" style="20" bestFit="1" customWidth="1"/>
    <col min="89" max="89" width="18.21875" style="20" bestFit="1" customWidth="1"/>
    <col min="90" max="90" width="8.88671875" style="20"/>
    <col min="91" max="91" width="8.88671875" style="34"/>
    <col min="92" max="92" width="17.44140625" style="20" bestFit="1" customWidth="1"/>
    <col min="93" max="93" width="18.21875" style="20" bestFit="1" customWidth="1"/>
    <col min="94" max="95" width="8.88671875" style="20"/>
    <col min="96" max="96" width="17.44140625" style="20" bestFit="1" customWidth="1"/>
    <col min="97" max="97" width="15.109375" style="20" bestFit="1" customWidth="1"/>
    <col min="98" max="98" width="10.33203125" style="20" bestFit="1" customWidth="1"/>
    <col min="99" max="99" width="13.109375" style="20" bestFit="1" customWidth="1"/>
    <col min="100" max="100" width="10.109375" style="20" bestFit="1" customWidth="1"/>
    <col min="101" max="101" width="16.5546875" style="20" bestFit="1" customWidth="1"/>
    <col min="102" max="105" width="8.88671875" style="20"/>
    <col min="106" max="106" width="8.88671875" style="34"/>
    <col min="107" max="107" width="18.21875" style="20" bestFit="1" customWidth="1"/>
    <col min="108" max="108" width="17.88671875" style="20" bestFit="1" customWidth="1"/>
    <col min="109" max="112" width="11.21875" style="20" bestFit="1" customWidth="1"/>
    <col min="113" max="113" width="8.88671875" style="20"/>
    <col min="114" max="114" width="8.88671875" style="34"/>
    <col min="115" max="115" width="14.5546875" style="20" bestFit="1" customWidth="1"/>
    <col min="116" max="116" width="18.21875" style="20" bestFit="1" customWidth="1"/>
    <col min="117" max="118" width="8.88671875" style="20"/>
    <col min="119" max="119" width="8.88671875" style="34"/>
    <col min="120" max="120" width="18.21875" style="20" bestFit="1" customWidth="1"/>
    <col min="121" max="121" width="17.88671875" style="20" bestFit="1" customWidth="1"/>
    <col min="122" max="122" width="6.5546875" style="20" bestFit="1" customWidth="1"/>
    <col min="123" max="124" width="7.6640625" style="20" bestFit="1" customWidth="1"/>
    <col min="125" max="16384" width="8.88671875" style="20"/>
  </cols>
  <sheetData>
    <row r="1" spans="2:124" x14ac:dyDescent="0.25">
      <c r="AU1" s="31" t="s">
        <v>9</v>
      </c>
      <c r="AY1" s="31" t="s">
        <v>97</v>
      </c>
      <c r="BB1" s="31" t="s">
        <v>98</v>
      </c>
      <c r="BF1" s="31" t="s">
        <v>99</v>
      </c>
      <c r="BM1" s="31" t="s">
        <v>100</v>
      </c>
      <c r="BY1" s="31" t="s">
        <v>100</v>
      </c>
      <c r="CJ1" s="31" t="s">
        <v>105</v>
      </c>
      <c r="CN1" s="31" t="s">
        <v>106</v>
      </c>
      <c r="DC1" s="31" t="s">
        <v>106</v>
      </c>
      <c r="DK1" s="31" t="s">
        <v>106</v>
      </c>
      <c r="DP1" s="31" t="s">
        <v>111</v>
      </c>
    </row>
    <row r="2" spans="2:124" s="31" customFormat="1" ht="14.4" x14ac:dyDescent="0.3">
      <c r="B2" s="31" t="s">
        <v>84</v>
      </c>
      <c r="C2" s="32"/>
      <c r="E2" s="31" t="s">
        <v>85</v>
      </c>
      <c r="J2" s="32"/>
      <c r="L2" s="31" t="s">
        <v>86</v>
      </c>
      <c r="R2" s="33"/>
      <c r="S2" s="31" t="s">
        <v>87</v>
      </c>
      <c r="Z2" s="33"/>
      <c r="AA2" s="31" t="s">
        <v>92</v>
      </c>
      <c r="AH2" s="33"/>
      <c r="AI2" s="31" t="s">
        <v>87</v>
      </c>
      <c r="AP2" s="33"/>
      <c r="AQ2" s="31" t="s">
        <v>95</v>
      </c>
      <c r="AT2" s="33"/>
      <c r="AU2" s="38" t="s">
        <v>0</v>
      </c>
      <c r="AV2" s="39" t="s">
        <v>14</v>
      </c>
      <c r="AX2" s="33"/>
      <c r="AY2" s="38" t="s">
        <v>0</v>
      </c>
      <c r="AZ2" s="39" t="s">
        <v>14</v>
      </c>
      <c r="BB2" s="38" t="s">
        <v>0</v>
      </c>
      <c r="BC2" s="39" t="s">
        <v>14</v>
      </c>
      <c r="BE2" s="33"/>
      <c r="BF2" s="38" t="s">
        <v>0</v>
      </c>
      <c r="BG2" s="39" t="s">
        <v>14</v>
      </c>
      <c r="BL2" s="33"/>
      <c r="BM2" s="22" t="s">
        <v>0</v>
      </c>
      <c r="BN2" s="20" t="s">
        <v>14</v>
      </c>
      <c r="BX2" s="33"/>
      <c r="BY2" s="38" t="s">
        <v>0</v>
      </c>
      <c r="BZ2" s="39" t="s">
        <v>14</v>
      </c>
      <c r="CC2" s="38" t="s">
        <v>0</v>
      </c>
      <c r="CD2" s="39" t="s">
        <v>14</v>
      </c>
      <c r="CI2" s="33"/>
      <c r="CJ2" s="38" t="s">
        <v>0</v>
      </c>
      <c r="CK2" s="39" t="s">
        <v>14</v>
      </c>
      <c r="CM2" s="33"/>
      <c r="CN2" s="38" t="s">
        <v>0</v>
      </c>
      <c r="CO2" s="39" t="s">
        <v>14</v>
      </c>
      <c r="DB2" s="33"/>
      <c r="DC2"/>
      <c r="DD2"/>
      <c r="DJ2" s="33"/>
      <c r="DK2" s="38" t="s">
        <v>0</v>
      </c>
      <c r="DL2" s="39" t="s">
        <v>14</v>
      </c>
      <c r="DO2" s="33"/>
      <c r="DP2" s="38" t="s">
        <v>0</v>
      </c>
      <c r="DQ2" s="39" t="s">
        <v>14</v>
      </c>
    </row>
    <row r="3" spans="2:124" ht="14.4" thickBot="1" x14ac:dyDescent="0.3"/>
    <row r="4" spans="2:124" ht="15.6" thickTop="1" thickBot="1" x14ac:dyDescent="0.35">
      <c r="B4" s="39" t="s">
        <v>81</v>
      </c>
      <c r="E4" s="38" t="s">
        <v>82</v>
      </c>
      <c r="F4" s="39" t="s">
        <v>80</v>
      </c>
      <c r="H4" s="27" t="s">
        <v>74</v>
      </c>
      <c r="I4" s="28">
        <f>IFERROR(VLOOKUP(H4,E:F,2,0),"-")</f>
        <v>14</v>
      </c>
      <c r="L4" s="38" t="s">
        <v>82</v>
      </c>
      <c r="M4" s="39" t="s">
        <v>81</v>
      </c>
      <c r="N4"/>
      <c r="S4" s="22" t="s">
        <v>82</v>
      </c>
      <c r="T4" s="20" t="s">
        <v>81</v>
      </c>
      <c r="U4" s="20" t="s">
        <v>88</v>
      </c>
      <c r="AA4" s="38" t="s">
        <v>82</v>
      </c>
      <c r="AB4" s="39" t="s">
        <v>80</v>
      </c>
      <c r="AC4"/>
      <c r="AI4" s="22" t="s">
        <v>82</v>
      </c>
      <c r="AJ4" s="20" t="s">
        <v>93</v>
      </c>
      <c r="AK4"/>
      <c r="AL4" s="39" t="s">
        <v>94</v>
      </c>
      <c r="AM4"/>
      <c r="AN4" s="39" t="s">
        <v>93</v>
      </c>
      <c r="AQ4" s="38" t="s">
        <v>82</v>
      </c>
      <c r="AR4" s="39" t="s">
        <v>96</v>
      </c>
      <c r="AU4" s="38" t="s">
        <v>82</v>
      </c>
      <c r="AV4" s="39" t="s">
        <v>81</v>
      </c>
      <c r="AY4" s="38" t="s">
        <v>82</v>
      </c>
      <c r="AZ4" s="39" t="s">
        <v>81</v>
      </c>
      <c r="BB4" s="38" t="s">
        <v>82</v>
      </c>
      <c r="BC4" s="39" t="s">
        <v>93</v>
      </c>
      <c r="BF4" s="38" t="s">
        <v>82</v>
      </c>
      <c r="BG4" s="39" t="s">
        <v>81</v>
      </c>
      <c r="BM4" s="22" t="s">
        <v>82</v>
      </c>
      <c r="BN4" s="20" t="s">
        <v>101</v>
      </c>
      <c r="BP4" s="42" t="s">
        <v>102</v>
      </c>
      <c r="BQ4" s="42" t="s">
        <v>103</v>
      </c>
      <c r="BR4" s="42" t="s">
        <v>89</v>
      </c>
      <c r="BS4" s="42" t="s">
        <v>91</v>
      </c>
      <c r="BU4" s="42" t="s">
        <v>89</v>
      </c>
      <c r="BV4" s="46">
        <f>MAX(BN:BN)</f>
        <v>3.497540509259258E-3</v>
      </c>
      <c r="BY4" s="38" t="s">
        <v>82</v>
      </c>
      <c r="BZ4" s="39" t="s">
        <v>81</v>
      </c>
      <c r="CA4" s="39" t="s">
        <v>88</v>
      </c>
      <c r="CC4" s="38" t="s">
        <v>82</v>
      </c>
      <c r="CD4" s="39" t="s">
        <v>81</v>
      </c>
      <c r="CE4"/>
      <c r="CJ4" s="38" t="s">
        <v>82</v>
      </c>
      <c r="CK4" s="39" t="s">
        <v>81</v>
      </c>
      <c r="CN4" s="38" t="s">
        <v>82</v>
      </c>
      <c r="CO4" s="39" t="s">
        <v>81</v>
      </c>
      <c r="DC4" s="38" t="s">
        <v>81</v>
      </c>
      <c r="DD4" s="38" t="s">
        <v>110</v>
      </c>
      <c r="DE4" s="39"/>
      <c r="DF4" s="39"/>
      <c r="DG4" s="39"/>
      <c r="DH4" s="39"/>
      <c r="DK4" s="38" t="s">
        <v>82</v>
      </c>
      <c r="DL4" s="39" t="s">
        <v>81</v>
      </c>
      <c r="DP4" s="38" t="s">
        <v>81</v>
      </c>
      <c r="DQ4" s="38" t="s">
        <v>110</v>
      </c>
      <c r="DR4" s="39"/>
      <c r="DS4" s="39"/>
      <c r="DT4"/>
    </row>
    <row r="5" spans="2:124" ht="15.6" thickTop="1" thickBot="1" x14ac:dyDescent="0.35">
      <c r="B5" s="49">
        <v>984000000</v>
      </c>
      <c r="C5" s="26"/>
      <c r="E5" s="41" t="s">
        <v>74</v>
      </c>
      <c r="F5" s="48">
        <v>14</v>
      </c>
      <c r="H5" s="29" t="s">
        <v>14</v>
      </c>
      <c r="I5" s="30">
        <f>IFERROR(VLOOKUP(H5,E:F,2,0),"-")</f>
        <v>54</v>
      </c>
      <c r="L5" s="41" t="s">
        <v>71</v>
      </c>
      <c r="M5" s="49">
        <v>222000000</v>
      </c>
      <c r="N5"/>
      <c r="O5" s="20" t="str">
        <f>IFERROR(L5,"-")</f>
        <v>Hany</v>
      </c>
      <c r="P5" s="21">
        <f>IFERROR(M5,"-")</f>
        <v>222000000</v>
      </c>
      <c r="S5" s="23" t="s">
        <v>59</v>
      </c>
      <c r="T5" s="35">
        <v>984000000</v>
      </c>
      <c r="U5" s="24">
        <v>984000000</v>
      </c>
      <c r="W5" s="20" t="s">
        <v>89</v>
      </c>
      <c r="X5" s="21">
        <f>MAX(U:U)</f>
        <v>3809000000</v>
      </c>
      <c r="AA5" s="41" t="s">
        <v>14</v>
      </c>
      <c r="AB5" s="48">
        <v>54</v>
      </c>
      <c r="AC5"/>
      <c r="AD5" s="36" t="s">
        <v>74</v>
      </c>
      <c r="AE5" s="28">
        <f>IFERROR(VLOOKUP(AD5,AA:AB,2,0),"-")</f>
        <v>14</v>
      </c>
      <c r="AF5" s="37">
        <f>AE5/GETPIVOTDATA("Fees Status",$AA$4)</f>
        <v>0.20588235294117646</v>
      </c>
      <c r="AI5" s="23" t="s">
        <v>59</v>
      </c>
      <c r="AJ5" s="24">
        <v>170</v>
      </c>
      <c r="AK5"/>
      <c r="AL5" s="51">
        <v>2.5</v>
      </c>
      <c r="AM5"/>
      <c r="AN5" s="52">
        <v>170</v>
      </c>
      <c r="AQ5" s="41" t="s">
        <v>32</v>
      </c>
      <c r="AR5" s="48">
        <v>14</v>
      </c>
      <c r="AU5" s="41" t="s">
        <v>50</v>
      </c>
      <c r="AV5" s="40">
        <v>228000000</v>
      </c>
      <c r="AY5" s="41" t="s">
        <v>43</v>
      </c>
      <c r="AZ5" s="40">
        <v>24000000</v>
      </c>
      <c r="BB5" s="41" t="s">
        <v>43</v>
      </c>
      <c r="BC5" s="48">
        <v>4</v>
      </c>
      <c r="BF5" s="41" t="s">
        <v>31</v>
      </c>
      <c r="BG5" s="40">
        <v>304000000</v>
      </c>
      <c r="BI5" s="42" t="str">
        <f>IFERROR(BF5,"-")</f>
        <v>Fndn. L5</v>
      </c>
      <c r="BJ5" s="43">
        <f>IFERROR(BG5,"-")</f>
        <v>304000000</v>
      </c>
      <c r="BM5" s="23" t="s">
        <v>59</v>
      </c>
      <c r="BN5" s="44">
        <v>3.0161179698216726E-3</v>
      </c>
      <c r="BP5" s="45">
        <f>IFERROR(MONTH(DATEVALUE(BM5&amp;"1")),"-")</f>
        <v>1</v>
      </c>
      <c r="BQ5" s="46">
        <f>IFERROR(BN5,"-")</f>
        <v>3.0161179698216726E-3</v>
      </c>
      <c r="BR5" s="46" t="str">
        <f>IF(BQ5=MAX(BQ:BQ),BQ5,"")</f>
        <v/>
      </c>
      <c r="BS5" s="46" t="str">
        <f>IF(BQ5=MIN(BQ:BQ),BQ5,"")</f>
        <v/>
      </c>
      <c r="BU5" s="42" t="s">
        <v>104</v>
      </c>
      <c r="BV5" s="46">
        <f>AVERAGE(BN:BN)</f>
        <v>2.9635914626953198E-3</v>
      </c>
      <c r="BY5" s="41" t="s">
        <v>39</v>
      </c>
      <c r="BZ5" s="40">
        <v>272000000</v>
      </c>
      <c r="CA5" s="48">
        <v>272000000</v>
      </c>
      <c r="CC5" s="41" t="s">
        <v>27</v>
      </c>
      <c r="CD5" s="40">
        <v>418000000</v>
      </c>
      <c r="CE5"/>
      <c r="CF5" s="42" t="str">
        <f>IFERROR(CC5,"-")</f>
        <v>Hossam</v>
      </c>
      <c r="CG5" s="47">
        <f>IFERROR(CD5,"-")</f>
        <v>418000000</v>
      </c>
      <c r="CJ5" s="41" t="s">
        <v>37</v>
      </c>
      <c r="CK5" s="40">
        <v>24000000</v>
      </c>
      <c r="CN5" s="41" t="s">
        <v>30</v>
      </c>
      <c r="CO5" s="40">
        <v>100000000</v>
      </c>
      <c r="CR5" s="42" t="str">
        <f>IFERROR(CN5,"-")</f>
        <v>Company Website</v>
      </c>
      <c r="CS5" s="42" t="str">
        <f>IFERROR(CN6,"-")</f>
        <v>Facebook Page</v>
      </c>
      <c r="CT5" s="42" t="str">
        <f>IFERROR(CN7,"-")</f>
        <v>Google Ad</v>
      </c>
      <c r="CU5" s="42" t="str">
        <f>IFERROR(CN8,"-")</f>
        <v>Television Ad</v>
      </c>
      <c r="CV5" s="42" t="str">
        <f>IFERROR(CN9,"-")</f>
        <v>WhatsApp</v>
      </c>
      <c r="CW5" s="42">
        <f>IFERROR(CN10,"-")</f>
        <v>0</v>
      </c>
      <c r="CY5" s="20" t="s">
        <v>109</v>
      </c>
      <c r="DC5" s="38" t="s">
        <v>82</v>
      </c>
      <c r="DD5" s="39" t="s">
        <v>24</v>
      </c>
      <c r="DE5" s="39" t="s">
        <v>46</v>
      </c>
      <c r="DF5" s="39" t="s">
        <v>49</v>
      </c>
      <c r="DG5" s="39" t="s">
        <v>17</v>
      </c>
      <c r="DH5" s="39" t="s">
        <v>72</v>
      </c>
      <c r="DK5" s="41" t="s">
        <v>39</v>
      </c>
      <c r="DL5" s="40">
        <v>272000000</v>
      </c>
      <c r="DP5" s="38" t="s">
        <v>82</v>
      </c>
      <c r="DQ5" s="39" t="s">
        <v>50</v>
      </c>
      <c r="DR5" s="39" t="s">
        <v>65</v>
      </c>
      <c r="DS5" s="39" t="s">
        <v>18</v>
      </c>
      <c r="DT5"/>
    </row>
    <row r="6" spans="2:124" ht="15.6" thickTop="1" thickBot="1" x14ac:dyDescent="0.35">
      <c r="E6" s="41" t="s">
        <v>14</v>
      </c>
      <c r="F6" s="48">
        <v>54</v>
      </c>
      <c r="L6" s="41" t="s">
        <v>33</v>
      </c>
      <c r="M6" s="49">
        <v>150000000</v>
      </c>
      <c r="N6"/>
      <c r="O6" s="20" t="str">
        <f t="shared" ref="O6:P9" si="0">IFERROR(L6,"-")</f>
        <v>Rony</v>
      </c>
      <c r="P6" s="21">
        <f t="shared" si="0"/>
        <v>150000000</v>
      </c>
      <c r="S6" s="23" t="s">
        <v>61</v>
      </c>
      <c r="T6" s="35">
        <v>1040000000</v>
      </c>
      <c r="U6" s="24">
        <v>1040000000</v>
      </c>
      <c r="W6" s="20" t="s">
        <v>90</v>
      </c>
      <c r="X6" s="21">
        <f>AVERAGE(U:U)</f>
        <v>1332500000</v>
      </c>
      <c r="AA6" s="41" t="s">
        <v>74</v>
      </c>
      <c r="AB6" s="48">
        <v>14</v>
      </c>
      <c r="AC6"/>
      <c r="AD6" s="36" t="s">
        <v>14</v>
      </c>
      <c r="AE6" s="36">
        <f>IFERROR(VLOOKUP(AD6,AA:AB,2,0),"-")</f>
        <v>54</v>
      </c>
      <c r="AF6" s="37">
        <f>AE6/GETPIVOTDATA("Fees Status",$AA$4)</f>
        <v>0.79411764705882348</v>
      </c>
      <c r="AI6" s="23" t="s">
        <v>61</v>
      </c>
      <c r="AJ6" s="24">
        <v>162</v>
      </c>
      <c r="AK6"/>
      <c r="AL6"/>
      <c r="AM6"/>
      <c r="AQ6" s="41" t="s">
        <v>35</v>
      </c>
      <c r="AR6" s="48">
        <v>12</v>
      </c>
      <c r="AU6" s="41" t="s">
        <v>65</v>
      </c>
      <c r="AV6" s="40">
        <v>80000000</v>
      </c>
      <c r="AY6" s="41" t="s">
        <v>38</v>
      </c>
      <c r="AZ6" s="40">
        <v>110000000</v>
      </c>
      <c r="BB6" s="41" t="s">
        <v>38</v>
      </c>
      <c r="BC6" s="48">
        <v>24</v>
      </c>
      <c r="BF6" s="41" t="s">
        <v>51</v>
      </c>
      <c r="BG6" s="40">
        <v>216000000</v>
      </c>
      <c r="BI6" s="42" t="str">
        <f t="shared" ref="BI6:BJ9" si="1">IFERROR(BF6,"-")</f>
        <v>Pre. L2</v>
      </c>
      <c r="BJ6" s="43">
        <f t="shared" si="1"/>
        <v>216000000</v>
      </c>
      <c r="BM6" s="23" t="s">
        <v>61</v>
      </c>
      <c r="BN6" s="44">
        <v>2.8763440860215049E-3</v>
      </c>
      <c r="BP6" s="45">
        <f t="shared" ref="BP6:BP16" si="2">IFERROR(MONTH(DATEVALUE(BM6&amp;"1")),"-")</f>
        <v>2</v>
      </c>
      <c r="BQ6" s="46">
        <f t="shared" ref="BQ6:BQ16" si="3">IFERROR(BN6,"-")</f>
        <v>2.8763440860215049E-3</v>
      </c>
      <c r="BR6" s="46" t="str">
        <f t="shared" ref="BR6:BR16" si="4">IF(BQ6=MAX(BQ:BQ),BQ6,"")</f>
        <v/>
      </c>
      <c r="BS6" s="46" t="str">
        <f t="shared" ref="BS6:BS16" si="5">IF(BQ6=MIN(BQ:BQ),BQ6,"")</f>
        <v/>
      </c>
      <c r="BU6" s="42" t="s">
        <v>91</v>
      </c>
      <c r="BV6" s="46">
        <f>MIN(BN:BN)</f>
        <v>1.3888888888888889E-3</v>
      </c>
      <c r="BY6" s="41" t="s">
        <v>21</v>
      </c>
      <c r="BZ6" s="40">
        <v>176000000</v>
      </c>
      <c r="CA6" s="48">
        <v>176000000</v>
      </c>
      <c r="CC6" s="41" t="s">
        <v>39</v>
      </c>
      <c r="CD6" s="40">
        <v>272000000</v>
      </c>
      <c r="CE6"/>
      <c r="CJ6" s="41" t="s">
        <v>57</v>
      </c>
      <c r="CK6" s="40">
        <v>70000000</v>
      </c>
      <c r="CN6" s="41" t="s">
        <v>34</v>
      </c>
      <c r="CO6" s="40">
        <v>334000000</v>
      </c>
      <c r="CQ6" s="20" t="s">
        <v>107</v>
      </c>
      <c r="CR6" s="40">
        <f t="shared" ref="CR6:CV6" si="6">IFERROR(VLOOKUP(CR5,$CN:$CO,2,0),"-")</f>
        <v>100000000</v>
      </c>
      <c r="CS6" s="40">
        <f t="shared" si="6"/>
        <v>334000000</v>
      </c>
      <c r="CT6" s="40">
        <f t="shared" si="6"/>
        <v>188000000</v>
      </c>
      <c r="CU6" s="40">
        <f t="shared" si="6"/>
        <v>202000000</v>
      </c>
      <c r="CV6" s="40">
        <f t="shared" si="6"/>
        <v>160000000</v>
      </c>
      <c r="CW6" s="40" t="str">
        <f>IFERROR(VLOOKUP(CW5,$CN:$CO,2,0),"-")</f>
        <v>-</v>
      </c>
      <c r="CY6" s="35">
        <f>SUM(CR6:CW6)</f>
        <v>984000000</v>
      </c>
      <c r="DC6" s="41" t="s">
        <v>59</v>
      </c>
      <c r="DD6" s="40">
        <v>262000000</v>
      </c>
      <c r="DE6" s="40">
        <v>472000000</v>
      </c>
      <c r="DF6" s="40">
        <v>0</v>
      </c>
      <c r="DG6" s="40">
        <v>190000000</v>
      </c>
      <c r="DH6" s="40">
        <v>60000000</v>
      </c>
      <c r="DK6" s="50" t="s">
        <v>50</v>
      </c>
      <c r="DL6" s="40">
        <v>152000000</v>
      </c>
      <c r="DP6" s="41" t="s">
        <v>37</v>
      </c>
      <c r="DQ6" s="40"/>
      <c r="DR6" s="40"/>
      <c r="DS6" s="40">
        <v>24000000</v>
      </c>
      <c r="DT6"/>
    </row>
    <row r="7" spans="2:124" ht="15" thickTop="1" x14ac:dyDescent="0.3">
      <c r="E7"/>
      <c r="F7"/>
      <c r="L7" s="41" t="s">
        <v>56</v>
      </c>
      <c r="M7" s="49">
        <v>132000000</v>
      </c>
      <c r="N7"/>
      <c r="O7" s="20" t="str">
        <f t="shared" si="0"/>
        <v>Mohmed</v>
      </c>
      <c r="P7" s="21">
        <f t="shared" si="0"/>
        <v>132000000</v>
      </c>
      <c r="S7" s="23" t="s">
        <v>62</v>
      </c>
      <c r="T7" s="35">
        <v>116000000</v>
      </c>
      <c r="U7" s="24">
        <v>116000000</v>
      </c>
      <c r="W7" s="20" t="s">
        <v>91</v>
      </c>
      <c r="X7" s="21">
        <f>MIN(U:U)</f>
        <v>116000000</v>
      </c>
      <c r="AA7" s="41" t="s">
        <v>83</v>
      </c>
      <c r="AB7" s="48">
        <v>68</v>
      </c>
      <c r="AC7"/>
      <c r="AI7" s="23" t="s">
        <v>62</v>
      </c>
      <c r="AJ7" s="24">
        <v>12</v>
      </c>
      <c r="AK7"/>
      <c r="AL7"/>
      <c r="AM7"/>
      <c r="AQ7" s="41" t="s">
        <v>44</v>
      </c>
      <c r="AR7" s="48">
        <v>2</v>
      </c>
      <c r="AU7" s="41" t="s">
        <v>18</v>
      </c>
      <c r="AV7" s="40">
        <v>676000000</v>
      </c>
      <c r="AY7" s="41" t="s">
        <v>31</v>
      </c>
      <c r="AZ7" s="40">
        <v>304000000</v>
      </c>
      <c r="BB7" s="41" t="s">
        <v>31</v>
      </c>
      <c r="BC7" s="48">
        <v>40</v>
      </c>
      <c r="BF7" s="41" t="s">
        <v>38</v>
      </c>
      <c r="BG7" s="40">
        <v>110000000</v>
      </c>
      <c r="BI7" s="42" t="str">
        <f t="shared" si="1"/>
        <v>Fndn. L3</v>
      </c>
      <c r="BJ7" s="43">
        <f t="shared" si="1"/>
        <v>110000000</v>
      </c>
      <c r="BM7" s="23" t="s">
        <v>62</v>
      </c>
      <c r="BN7" s="44">
        <v>1.3888888888888889E-3</v>
      </c>
      <c r="BP7" s="45">
        <f t="shared" si="2"/>
        <v>3</v>
      </c>
      <c r="BQ7" s="46">
        <f t="shared" si="3"/>
        <v>1.3888888888888889E-3</v>
      </c>
      <c r="BR7" s="46" t="str">
        <f t="shared" si="4"/>
        <v/>
      </c>
      <c r="BS7" s="46">
        <f t="shared" si="5"/>
        <v>1.3888888888888889E-3</v>
      </c>
      <c r="BY7" s="41" t="s">
        <v>27</v>
      </c>
      <c r="BZ7" s="40">
        <v>418000000</v>
      </c>
      <c r="CA7" s="48">
        <v>418000000</v>
      </c>
      <c r="CC7" s="41" t="s">
        <v>21</v>
      </c>
      <c r="CD7" s="40">
        <v>176000000</v>
      </c>
      <c r="CE7"/>
      <c r="CJ7" s="41" t="s">
        <v>71</v>
      </c>
      <c r="CK7" s="40">
        <v>222000000</v>
      </c>
      <c r="CN7" s="41" t="s">
        <v>53</v>
      </c>
      <c r="CO7" s="40">
        <v>188000000</v>
      </c>
      <c r="CQ7" s="20" t="s">
        <v>108</v>
      </c>
      <c r="CR7" s="35">
        <f t="shared" ref="CR7:CV7" si="7">IFERROR(MAX($CO:$CO)-CR6+1000000000,"-")</f>
        <v>1234000000</v>
      </c>
      <c r="CS7" s="35">
        <f t="shared" si="7"/>
        <v>1000000000</v>
      </c>
      <c r="CT7" s="35">
        <f t="shared" si="7"/>
        <v>1146000000</v>
      </c>
      <c r="CU7" s="35">
        <f t="shared" si="7"/>
        <v>1132000000</v>
      </c>
      <c r="CV7" s="35">
        <f t="shared" si="7"/>
        <v>1174000000</v>
      </c>
      <c r="CW7" s="35" t="str">
        <f>IFERROR(MAX($CO:$CO)-CW6+1000000000,"-")</f>
        <v>-</v>
      </c>
      <c r="DC7" s="41" t="s">
        <v>61</v>
      </c>
      <c r="DD7" s="40">
        <v>306000000</v>
      </c>
      <c r="DE7" s="40">
        <v>408000000</v>
      </c>
      <c r="DF7" s="40">
        <v>48000000</v>
      </c>
      <c r="DG7" s="40">
        <v>248000000</v>
      </c>
      <c r="DH7" s="40">
        <v>30000000</v>
      </c>
      <c r="DK7" s="50" t="s">
        <v>65</v>
      </c>
      <c r="DL7" s="40">
        <v>40000000</v>
      </c>
      <c r="DP7" s="41" t="s">
        <v>57</v>
      </c>
      <c r="DQ7" s="40"/>
      <c r="DR7" s="40"/>
      <c r="DS7" s="40">
        <v>70000000</v>
      </c>
      <c r="DT7"/>
    </row>
    <row r="8" spans="2:124" ht="14.4" x14ac:dyDescent="0.3">
      <c r="L8" s="41" t="s">
        <v>58</v>
      </c>
      <c r="M8" s="49">
        <v>94000000</v>
      </c>
      <c r="N8"/>
      <c r="O8" s="20" t="str">
        <f t="shared" si="0"/>
        <v>Reham</v>
      </c>
      <c r="P8" s="21">
        <f t="shared" si="0"/>
        <v>94000000</v>
      </c>
      <c r="S8" s="23" t="s">
        <v>15</v>
      </c>
      <c r="T8" s="35">
        <v>538000000</v>
      </c>
      <c r="U8" s="24">
        <v>538000000</v>
      </c>
      <c r="AA8"/>
      <c r="AB8"/>
      <c r="AC8"/>
      <c r="AI8" s="23" t="s">
        <v>15</v>
      </c>
      <c r="AJ8" s="24">
        <v>102</v>
      </c>
      <c r="AK8"/>
      <c r="AL8"/>
      <c r="AM8"/>
      <c r="AQ8" s="41" t="s">
        <v>20</v>
      </c>
      <c r="AR8" s="48">
        <v>6</v>
      </c>
      <c r="AU8"/>
      <c r="AV8"/>
      <c r="AY8" s="41" t="s">
        <v>54</v>
      </c>
      <c r="AZ8" s="40">
        <v>14000000</v>
      </c>
      <c r="BB8" s="41" t="s">
        <v>54</v>
      </c>
      <c r="BC8" s="48">
        <v>2</v>
      </c>
      <c r="BF8" s="41" t="s">
        <v>25</v>
      </c>
      <c r="BG8" s="40">
        <v>110000000</v>
      </c>
      <c r="BI8" s="42" t="str">
        <f t="shared" si="1"/>
        <v>Pre. L8</v>
      </c>
      <c r="BJ8" s="43">
        <f t="shared" si="1"/>
        <v>110000000</v>
      </c>
      <c r="BM8" s="23" t="s">
        <v>15</v>
      </c>
      <c r="BN8" s="44">
        <v>3.497540509259258E-3</v>
      </c>
      <c r="BP8" s="45">
        <f t="shared" si="2"/>
        <v>4</v>
      </c>
      <c r="BQ8" s="46">
        <f t="shared" si="3"/>
        <v>3.497540509259258E-3</v>
      </c>
      <c r="BR8" s="46">
        <f t="shared" si="4"/>
        <v>3.497540509259258E-3</v>
      </c>
      <c r="BS8" s="46" t="str">
        <f t="shared" si="5"/>
        <v/>
      </c>
      <c r="BY8" s="41" t="s">
        <v>36</v>
      </c>
      <c r="BZ8" s="40">
        <v>118000000</v>
      </c>
      <c r="CA8" s="48">
        <v>118000000</v>
      </c>
      <c r="CC8" s="41" t="s">
        <v>36</v>
      </c>
      <c r="CD8" s="40">
        <v>118000000</v>
      </c>
      <c r="CE8"/>
      <c r="CJ8" s="41" t="s">
        <v>67</v>
      </c>
      <c r="CK8" s="40">
        <v>22000000</v>
      </c>
      <c r="CN8" s="41" t="s">
        <v>16</v>
      </c>
      <c r="CO8" s="40">
        <v>202000000</v>
      </c>
      <c r="DC8" s="41" t="s">
        <v>62</v>
      </c>
      <c r="DD8" s="40">
        <v>0</v>
      </c>
      <c r="DE8" s="40">
        <v>116000000</v>
      </c>
      <c r="DF8" s="40"/>
      <c r="DG8" s="40">
        <v>0</v>
      </c>
      <c r="DH8" s="40">
        <v>0</v>
      </c>
      <c r="DK8" s="50" t="s">
        <v>18</v>
      </c>
      <c r="DL8" s="40">
        <v>80000000</v>
      </c>
      <c r="DP8" s="41" t="s">
        <v>71</v>
      </c>
      <c r="DQ8" s="40">
        <v>152000000</v>
      </c>
      <c r="DR8" s="40">
        <v>40000000</v>
      </c>
      <c r="DS8" s="40">
        <v>30000000</v>
      </c>
      <c r="DT8"/>
    </row>
    <row r="9" spans="2:124" ht="14.4" x14ac:dyDescent="0.3">
      <c r="L9" s="41" t="s">
        <v>28</v>
      </c>
      <c r="M9" s="49">
        <v>88000000</v>
      </c>
      <c r="N9"/>
      <c r="O9" s="20" t="str">
        <f t="shared" si="0"/>
        <v>Kisho</v>
      </c>
      <c r="P9" s="21">
        <f t="shared" si="0"/>
        <v>88000000</v>
      </c>
      <c r="S9" s="23" t="s">
        <v>63</v>
      </c>
      <c r="T9" s="35">
        <v>1158000000</v>
      </c>
      <c r="U9" s="24">
        <v>1158000000</v>
      </c>
      <c r="AA9"/>
      <c r="AB9"/>
      <c r="AC9"/>
      <c r="AI9" s="23" t="s">
        <v>63</v>
      </c>
      <c r="AJ9" s="24">
        <v>174</v>
      </c>
      <c r="AK9"/>
      <c r="AL9"/>
      <c r="AM9"/>
      <c r="AQ9" s="41" t="s">
        <v>47</v>
      </c>
      <c r="AR9" s="48">
        <v>4</v>
      </c>
      <c r="AU9"/>
      <c r="AV9"/>
      <c r="AY9" s="41" t="s">
        <v>19</v>
      </c>
      <c r="AZ9" s="40">
        <v>78000000</v>
      </c>
      <c r="BB9" s="41" t="s">
        <v>19</v>
      </c>
      <c r="BC9" s="48">
        <v>14</v>
      </c>
      <c r="BF9" s="41" t="s">
        <v>60</v>
      </c>
      <c r="BG9" s="40">
        <v>106000000</v>
      </c>
      <c r="BI9" s="42" t="str">
        <f t="shared" si="1"/>
        <v>Pre. L3</v>
      </c>
      <c r="BJ9" s="43">
        <f t="shared" si="1"/>
        <v>106000000</v>
      </c>
      <c r="BM9" s="23" t="s">
        <v>63</v>
      </c>
      <c r="BN9" s="44">
        <v>3.0488351254480289E-3</v>
      </c>
      <c r="BP9" s="45">
        <f t="shared" si="2"/>
        <v>5</v>
      </c>
      <c r="BQ9" s="46">
        <f t="shared" si="3"/>
        <v>3.0488351254480289E-3</v>
      </c>
      <c r="BR9" s="46" t="str">
        <f t="shared" si="4"/>
        <v/>
      </c>
      <c r="BS9" s="46" t="str">
        <f t="shared" si="5"/>
        <v/>
      </c>
      <c r="BY9"/>
      <c r="BZ9"/>
      <c r="CJ9" s="41" t="s">
        <v>75</v>
      </c>
      <c r="CK9" s="40">
        <v>48000000</v>
      </c>
      <c r="CN9" s="41" t="s">
        <v>42</v>
      </c>
      <c r="CO9" s="40">
        <v>160000000</v>
      </c>
      <c r="DC9" s="41" t="s">
        <v>15</v>
      </c>
      <c r="DD9" s="40">
        <v>144000000</v>
      </c>
      <c r="DE9" s="40">
        <v>264000000</v>
      </c>
      <c r="DF9" s="40">
        <v>24000000</v>
      </c>
      <c r="DG9" s="40">
        <v>82000000</v>
      </c>
      <c r="DH9" s="40">
        <v>24000000</v>
      </c>
      <c r="DK9"/>
      <c r="DL9"/>
      <c r="DP9" s="41" t="s">
        <v>67</v>
      </c>
      <c r="DQ9" s="40"/>
      <c r="DR9" s="40"/>
      <c r="DS9" s="40">
        <v>22000000</v>
      </c>
      <c r="DT9"/>
    </row>
    <row r="10" spans="2:124" ht="14.4" x14ac:dyDescent="0.3">
      <c r="L10" s="41" t="s">
        <v>45</v>
      </c>
      <c r="M10" s="49">
        <v>84000000</v>
      </c>
      <c r="N10"/>
      <c r="S10" s="23" t="s">
        <v>64</v>
      </c>
      <c r="T10" s="35">
        <v>512000000</v>
      </c>
      <c r="U10" s="24">
        <v>512000000</v>
      </c>
      <c r="AA10"/>
      <c r="AB10"/>
      <c r="AC10"/>
      <c r="AI10" s="23" t="s">
        <v>64</v>
      </c>
      <c r="AJ10" s="24">
        <v>96</v>
      </c>
      <c r="AK10"/>
      <c r="AL10"/>
      <c r="AM10"/>
      <c r="AQ10" s="41" t="s">
        <v>26</v>
      </c>
      <c r="AR10" s="48">
        <v>8</v>
      </c>
      <c r="AU10"/>
      <c r="AV10"/>
      <c r="AY10" s="41" t="s">
        <v>51</v>
      </c>
      <c r="AZ10" s="40">
        <v>216000000</v>
      </c>
      <c r="BB10" s="41" t="s">
        <v>51</v>
      </c>
      <c r="BC10" s="48">
        <v>34</v>
      </c>
      <c r="BF10" s="41" t="s">
        <v>19</v>
      </c>
      <c r="BG10" s="40">
        <v>78000000</v>
      </c>
      <c r="BM10" s="23" t="s">
        <v>64</v>
      </c>
      <c r="BN10" s="44">
        <v>2.9208002645502639E-3</v>
      </c>
      <c r="BP10" s="45">
        <f t="shared" si="2"/>
        <v>6</v>
      </c>
      <c r="BQ10" s="46">
        <f t="shared" si="3"/>
        <v>2.9208002645502639E-3</v>
      </c>
      <c r="BR10" s="46" t="str">
        <f t="shared" si="4"/>
        <v/>
      </c>
      <c r="BS10" s="46" t="str">
        <f t="shared" si="5"/>
        <v/>
      </c>
      <c r="BY10"/>
      <c r="BZ10"/>
      <c r="CJ10" s="41" t="s">
        <v>40</v>
      </c>
      <c r="CK10" s="40">
        <v>50000000</v>
      </c>
      <c r="CN10"/>
      <c r="CO10"/>
      <c r="DC10" s="41" t="s">
        <v>63</v>
      </c>
      <c r="DD10" s="40">
        <v>294000000</v>
      </c>
      <c r="DE10" s="40">
        <v>546000000</v>
      </c>
      <c r="DF10" s="40">
        <v>68000000</v>
      </c>
      <c r="DG10" s="40">
        <v>226000000</v>
      </c>
      <c r="DH10" s="40">
        <v>24000000</v>
      </c>
      <c r="DK10"/>
      <c r="DL10"/>
      <c r="DP10" s="41" t="s">
        <v>75</v>
      </c>
      <c r="DQ10" s="40"/>
      <c r="DR10" s="40"/>
      <c r="DS10" s="40">
        <v>48000000</v>
      </c>
      <c r="DT10"/>
    </row>
    <row r="11" spans="2:124" ht="14.4" x14ac:dyDescent="0.3">
      <c r="L11" s="41" t="s">
        <v>57</v>
      </c>
      <c r="M11" s="49">
        <v>70000000</v>
      </c>
      <c r="N11"/>
      <c r="S11" s="23" t="s">
        <v>76</v>
      </c>
      <c r="T11" s="35">
        <v>442000000</v>
      </c>
      <c r="U11" s="24">
        <v>442000000</v>
      </c>
      <c r="AA11"/>
      <c r="AB11"/>
      <c r="AC11"/>
      <c r="AI11" s="23" t="s">
        <v>76</v>
      </c>
      <c r="AJ11" s="24">
        <v>60</v>
      </c>
      <c r="AK11"/>
      <c r="AL11"/>
      <c r="AM11"/>
      <c r="AQ11" s="41" t="s">
        <v>52</v>
      </c>
      <c r="AR11" s="48">
        <v>10</v>
      </c>
      <c r="AU11"/>
      <c r="AV11"/>
      <c r="AY11" s="41" t="s">
        <v>60</v>
      </c>
      <c r="AZ11" s="40">
        <v>106000000</v>
      </c>
      <c r="BB11" s="41" t="s">
        <v>60</v>
      </c>
      <c r="BC11" s="48">
        <v>22</v>
      </c>
      <c r="BF11" s="41" t="s">
        <v>43</v>
      </c>
      <c r="BG11" s="40">
        <v>24000000</v>
      </c>
      <c r="BM11" s="23" t="s">
        <v>76</v>
      </c>
      <c r="BN11" s="44">
        <v>2.9407051282051289E-3</v>
      </c>
      <c r="BP11" s="45">
        <f t="shared" si="2"/>
        <v>7</v>
      </c>
      <c r="BQ11" s="46">
        <f t="shared" si="3"/>
        <v>2.9407051282051289E-3</v>
      </c>
      <c r="BR11" s="46" t="str">
        <f t="shared" si="4"/>
        <v/>
      </c>
      <c r="BS11" s="46" t="str">
        <f t="shared" si="5"/>
        <v/>
      </c>
      <c r="BY11"/>
      <c r="BZ11"/>
      <c r="CJ11" s="41" t="s">
        <v>28</v>
      </c>
      <c r="CK11" s="40">
        <v>88000000</v>
      </c>
      <c r="CN11"/>
      <c r="CO11"/>
      <c r="DC11" s="41" t="s">
        <v>64</v>
      </c>
      <c r="DD11" s="40">
        <v>212000000</v>
      </c>
      <c r="DE11" s="40">
        <v>146000000</v>
      </c>
      <c r="DF11" s="40">
        <v>24000000</v>
      </c>
      <c r="DG11" s="40">
        <v>130000000</v>
      </c>
      <c r="DH11" s="40">
        <v>0</v>
      </c>
      <c r="DK11"/>
      <c r="DL11"/>
      <c r="DP11" s="41" t="s">
        <v>40</v>
      </c>
      <c r="DQ11" s="40"/>
      <c r="DR11" s="40"/>
      <c r="DS11" s="40">
        <v>50000000</v>
      </c>
      <c r="DT11"/>
    </row>
    <row r="12" spans="2:124" ht="14.4" x14ac:dyDescent="0.3">
      <c r="L12" s="41" t="s">
        <v>40</v>
      </c>
      <c r="M12" s="49">
        <v>50000000</v>
      </c>
      <c r="N12"/>
      <c r="S12" s="23" t="s">
        <v>23</v>
      </c>
      <c r="T12" s="35">
        <v>1152000000</v>
      </c>
      <c r="U12" s="24">
        <v>1152000000</v>
      </c>
      <c r="AA12"/>
      <c r="AB12"/>
      <c r="AC12"/>
      <c r="AI12" s="23" t="s">
        <v>23</v>
      </c>
      <c r="AJ12" s="24">
        <v>189</v>
      </c>
      <c r="AK12"/>
      <c r="AL12"/>
      <c r="AM12"/>
      <c r="AQ12" s="41" t="s">
        <v>55</v>
      </c>
      <c r="AR12" s="48">
        <v>12</v>
      </c>
      <c r="AU12"/>
      <c r="AV12"/>
      <c r="AY12" s="41" t="s">
        <v>68</v>
      </c>
      <c r="AZ12" s="40">
        <v>22000000</v>
      </c>
      <c r="BB12" s="41" t="s">
        <v>68</v>
      </c>
      <c r="BC12" s="48">
        <v>6</v>
      </c>
      <c r="BF12" s="41" t="s">
        <v>68</v>
      </c>
      <c r="BG12" s="40">
        <v>22000000</v>
      </c>
      <c r="BM12" s="23" t="s">
        <v>23</v>
      </c>
      <c r="BN12" s="44">
        <v>3.0726650563607082E-3</v>
      </c>
      <c r="BP12" s="45">
        <f t="shared" si="2"/>
        <v>8</v>
      </c>
      <c r="BQ12" s="46">
        <f t="shared" si="3"/>
        <v>3.0726650563607082E-3</v>
      </c>
      <c r="BR12" s="46" t="str">
        <f t="shared" si="4"/>
        <v/>
      </c>
      <c r="BS12" s="46" t="str">
        <f t="shared" si="5"/>
        <v/>
      </c>
      <c r="BY12"/>
      <c r="BZ12"/>
      <c r="CJ12" s="41" t="s">
        <v>56</v>
      </c>
      <c r="CK12" s="40">
        <v>132000000</v>
      </c>
      <c r="CN12"/>
      <c r="CO12"/>
      <c r="DC12" s="41" t="s">
        <v>76</v>
      </c>
      <c r="DD12" s="40">
        <v>180000000</v>
      </c>
      <c r="DE12" s="40">
        <v>262000000</v>
      </c>
      <c r="DF12" s="40"/>
      <c r="DG12" s="40">
        <v>0</v>
      </c>
      <c r="DH12" s="40"/>
      <c r="DK12"/>
      <c r="DL12"/>
      <c r="DP12" s="41" t="s">
        <v>28</v>
      </c>
      <c r="DQ12" s="40"/>
      <c r="DR12" s="40"/>
      <c r="DS12" s="40">
        <v>88000000</v>
      </c>
      <c r="DT12"/>
    </row>
    <row r="13" spans="2:124" ht="14.4" x14ac:dyDescent="0.3">
      <c r="L13" s="41" t="s">
        <v>75</v>
      </c>
      <c r="M13" s="49">
        <v>48000000</v>
      </c>
      <c r="N13"/>
      <c r="S13" s="23" t="s">
        <v>29</v>
      </c>
      <c r="T13" s="35">
        <v>2178000000</v>
      </c>
      <c r="U13" s="24">
        <v>2178000000</v>
      </c>
      <c r="AA13"/>
      <c r="AB13"/>
      <c r="AC13"/>
      <c r="AI13" s="23" t="s">
        <v>29</v>
      </c>
      <c r="AJ13" s="24">
        <v>387</v>
      </c>
      <c r="AK13"/>
      <c r="AL13"/>
      <c r="AM13"/>
      <c r="AQ13"/>
      <c r="AR13"/>
      <c r="AU13"/>
      <c r="AV13"/>
      <c r="AY13" s="41" t="s">
        <v>25</v>
      </c>
      <c r="AZ13" s="40">
        <v>110000000</v>
      </c>
      <c r="BB13" s="41" t="s">
        <v>25</v>
      </c>
      <c r="BC13" s="48">
        <v>24</v>
      </c>
      <c r="BF13" s="41" t="s">
        <v>54</v>
      </c>
      <c r="BG13" s="40">
        <v>14000000</v>
      </c>
      <c r="BM13" s="23" t="s">
        <v>29</v>
      </c>
      <c r="BN13" s="44">
        <v>3.1521213377556649E-3</v>
      </c>
      <c r="BP13" s="45">
        <f t="shared" si="2"/>
        <v>9</v>
      </c>
      <c r="BQ13" s="46">
        <f t="shared" si="3"/>
        <v>3.1521213377556649E-3</v>
      </c>
      <c r="BR13" s="46" t="str">
        <f t="shared" si="4"/>
        <v/>
      </c>
      <c r="BS13" s="46" t="str">
        <f t="shared" si="5"/>
        <v/>
      </c>
      <c r="BY13"/>
      <c r="BZ13"/>
      <c r="CJ13" s="41" t="s">
        <v>58</v>
      </c>
      <c r="CK13" s="40">
        <v>94000000</v>
      </c>
      <c r="CN13"/>
      <c r="CO13"/>
      <c r="DC13" s="41" t="s">
        <v>23</v>
      </c>
      <c r="DD13" s="40">
        <v>372000000</v>
      </c>
      <c r="DE13" s="40">
        <v>443000000</v>
      </c>
      <c r="DF13" s="40">
        <v>38000000</v>
      </c>
      <c r="DG13" s="40">
        <v>225000000</v>
      </c>
      <c r="DH13" s="40">
        <v>74000000</v>
      </c>
      <c r="DK13"/>
      <c r="DL13"/>
      <c r="DP13" s="41" t="s">
        <v>56</v>
      </c>
      <c r="DQ13" s="40"/>
      <c r="DR13" s="40"/>
      <c r="DS13" s="40">
        <v>132000000</v>
      </c>
      <c r="DT13"/>
    </row>
    <row r="14" spans="2:124" ht="14.4" x14ac:dyDescent="0.3">
      <c r="L14" s="41" t="s">
        <v>37</v>
      </c>
      <c r="M14" s="49">
        <v>24000000</v>
      </c>
      <c r="N14"/>
      <c r="S14" s="23" t="s">
        <v>41</v>
      </c>
      <c r="T14" s="35">
        <v>3809000000</v>
      </c>
      <c r="U14" s="24">
        <v>3809000000</v>
      </c>
      <c r="AA14"/>
      <c r="AB14"/>
      <c r="AC14"/>
      <c r="AI14" s="23" t="s">
        <v>41</v>
      </c>
      <c r="AJ14" s="24">
        <v>617</v>
      </c>
      <c r="AK14"/>
      <c r="AL14"/>
      <c r="AM14"/>
      <c r="AQ14"/>
      <c r="AR14"/>
      <c r="AU14"/>
      <c r="AV14"/>
      <c r="AY14"/>
      <c r="AZ14"/>
      <c r="BB14"/>
      <c r="BC14"/>
      <c r="BF14"/>
      <c r="BG14"/>
      <c r="BM14" s="23" t="s">
        <v>41</v>
      </c>
      <c r="BN14" s="44">
        <v>3.276282366437237E-3</v>
      </c>
      <c r="BP14" s="45">
        <f t="shared" si="2"/>
        <v>10</v>
      </c>
      <c r="BQ14" s="46">
        <f t="shared" si="3"/>
        <v>3.276282366437237E-3</v>
      </c>
      <c r="BR14" s="46" t="str">
        <f t="shared" si="4"/>
        <v/>
      </c>
      <c r="BS14" s="46" t="str">
        <f t="shared" si="5"/>
        <v/>
      </c>
      <c r="BY14"/>
      <c r="BZ14"/>
      <c r="CJ14" s="41" t="s">
        <v>33</v>
      </c>
      <c r="CK14" s="40">
        <v>150000000</v>
      </c>
      <c r="CN14"/>
      <c r="CO14"/>
      <c r="DC14" s="41" t="s">
        <v>29</v>
      </c>
      <c r="DD14" s="40">
        <v>652000000</v>
      </c>
      <c r="DE14" s="40">
        <v>858000000</v>
      </c>
      <c r="DF14" s="40">
        <v>142000000</v>
      </c>
      <c r="DG14" s="40">
        <v>413000000</v>
      </c>
      <c r="DH14" s="40">
        <v>113000000</v>
      </c>
      <c r="DK14"/>
      <c r="DL14"/>
      <c r="DP14" s="41" t="s">
        <v>58</v>
      </c>
      <c r="DQ14" s="40"/>
      <c r="DR14" s="40"/>
      <c r="DS14" s="40">
        <v>94000000</v>
      </c>
      <c r="DT14"/>
    </row>
    <row r="15" spans="2:124" ht="14.4" x14ac:dyDescent="0.3">
      <c r="L15" s="41" t="s">
        <v>67</v>
      </c>
      <c r="M15" s="49">
        <v>22000000</v>
      </c>
      <c r="N15"/>
      <c r="S15" s="23" t="s">
        <v>48</v>
      </c>
      <c r="T15" s="35">
        <v>2814000000</v>
      </c>
      <c r="U15" s="24">
        <v>2814000000</v>
      </c>
      <c r="AA15"/>
      <c r="AB15"/>
      <c r="AC15"/>
      <c r="AI15" s="23" t="s">
        <v>48</v>
      </c>
      <c r="AJ15" s="24">
        <v>468</v>
      </c>
      <c r="AK15"/>
      <c r="AL15"/>
      <c r="AM15"/>
      <c r="AQ15"/>
      <c r="AR15"/>
      <c r="AU15"/>
      <c r="AV15"/>
      <c r="AY15"/>
      <c r="AZ15"/>
      <c r="BB15"/>
      <c r="BC15"/>
      <c r="BF15"/>
      <c r="BG15"/>
      <c r="BM15" s="23" t="s">
        <v>48</v>
      </c>
      <c r="BN15" s="44">
        <v>3.120971050164087E-3</v>
      </c>
      <c r="BP15" s="45">
        <f t="shared" si="2"/>
        <v>11</v>
      </c>
      <c r="BQ15" s="46">
        <f t="shared" si="3"/>
        <v>3.120971050164087E-3</v>
      </c>
      <c r="BR15" s="46" t="str">
        <f t="shared" si="4"/>
        <v/>
      </c>
      <c r="BS15" s="46" t="str">
        <f t="shared" si="5"/>
        <v/>
      </c>
      <c r="BY15"/>
      <c r="BZ15"/>
      <c r="CJ15" s="41" t="s">
        <v>45</v>
      </c>
      <c r="CK15" s="40">
        <v>84000000</v>
      </c>
      <c r="CN15"/>
      <c r="CO15"/>
      <c r="DC15" s="41" t="s">
        <v>41</v>
      </c>
      <c r="DD15" s="40">
        <v>1179000000</v>
      </c>
      <c r="DE15" s="40">
        <v>1448000000</v>
      </c>
      <c r="DF15" s="40">
        <v>242000000</v>
      </c>
      <c r="DG15" s="40">
        <v>752000000</v>
      </c>
      <c r="DH15" s="40">
        <v>188000000</v>
      </c>
      <c r="DK15"/>
      <c r="DL15"/>
      <c r="DP15" s="41" t="s">
        <v>33</v>
      </c>
      <c r="DQ15" s="40">
        <v>76000000</v>
      </c>
      <c r="DR15" s="40"/>
      <c r="DS15" s="40">
        <v>74000000</v>
      </c>
      <c r="DT15"/>
    </row>
    <row r="16" spans="2:124" ht="14.4" x14ac:dyDescent="0.3">
      <c r="L16" s="41" t="s">
        <v>69</v>
      </c>
      <c r="M16" s="49">
        <v>0</v>
      </c>
      <c r="N16"/>
      <c r="S16" s="23" t="s">
        <v>73</v>
      </c>
      <c r="T16" s="35">
        <v>1247000000</v>
      </c>
      <c r="U16" s="24">
        <v>1247000000</v>
      </c>
      <c r="AA16"/>
      <c r="AB16"/>
      <c r="AC16"/>
      <c r="AI16" s="23" t="s">
        <v>73</v>
      </c>
      <c r="AJ16" s="24">
        <v>206</v>
      </c>
      <c r="AK16"/>
      <c r="AL16"/>
      <c r="AM16"/>
      <c r="AQ16"/>
      <c r="AR16"/>
      <c r="AU16"/>
      <c r="AV16"/>
      <c r="AY16"/>
      <c r="AZ16"/>
      <c r="BB16"/>
      <c r="BC16"/>
      <c r="BF16"/>
      <c r="BG16"/>
      <c r="BM16" s="23" t="s">
        <v>73</v>
      </c>
      <c r="BN16" s="44">
        <v>3.2518257694314021E-3</v>
      </c>
      <c r="BP16" s="45">
        <f t="shared" si="2"/>
        <v>12</v>
      </c>
      <c r="BQ16" s="46">
        <f t="shared" si="3"/>
        <v>3.2518257694314021E-3</v>
      </c>
      <c r="BR16" s="46" t="str">
        <f t="shared" si="4"/>
        <v/>
      </c>
      <c r="BS16" s="46" t="str">
        <f t="shared" si="5"/>
        <v/>
      </c>
      <c r="BY16"/>
      <c r="BZ16"/>
      <c r="CJ16"/>
      <c r="CK16"/>
      <c r="CN16"/>
      <c r="CO16"/>
      <c r="DC16" s="41" t="s">
        <v>48</v>
      </c>
      <c r="DD16" s="40">
        <v>789000000</v>
      </c>
      <c r="DE16" s="40">
        <v>1078000000</v>
      </c>
      <c r="DF16" s="40">
        <v>239000000</v>
      </c>
      <c r="DG16" s="40">
        <v>545000000</v>
      </c>
      <c r="DH16" s="40">
        <v>163000000</v>
      </c>
      <c r="DK16"/>
      <c r="DL16"/>
      <c r="DP16" s="41" t="s">
        <v>45</v>
      </c>
      <c r="DQ16" s="40"/>
      <c r="DR16" s="40">
        <v>40000000</v>
      </c>
      <c r="DS16" s="40">
        <v>44000000</v>
      </c>
      <c r="DT16"/>
    </row>
    <row r="17" spans="12:124" ht="14.4" x14ac:dyDescent="0.3">
      <c r="L17" s="41" t="s">
        <v>79</v>
      </c>
      <c r="M17" s="49">
        <v>0</v>
      </c>
      <c r="N17"/>
      <c r="S17"/>
      <c r="T17"/>
      <c r="U17"/>
      <c r="AA17"/>
      <c r="AB17"/>
      <c r="AC17"/>
      <c r="AI17"/>
      <c r="AJ17"/>
      <c r="AK17"/>
      <c r="AL17"/>
      <c r="AM17"/>
      <c r="AQ17"/>
      <c r="AR17"/>
      <c r="AU17"/>
      <c r="AV17"/>
      <c r="AY17"/>
      <c r="AZ17"/>
      <c r="BB17"/>
      <c r="BC17"/>
      <c r="BF17"/>
      <c r="BG17"/>
      <c r="BM17"/>
      <c r="BN17"/>
      <c r="BY17"/>
      <c r="BZ17"/>
      <c r="CJ17"/>
      <c r="CK17"/>
      <c r="CN17"/>
      <c r="CO17"/>
      <c r="DC17" s="41" t="s">
        <v>73</v>
      </c>
      <c r="DD17" s="40">
        <v>445000000</v>
      </c>
      <c r="DE17" s="40">
        <v>444000000</v>
      </c>
      <c r="DF17" s="40">
        <v>75000000</v>
      </c>
      <c r="DG17" s="40">
        <v>200000000</v>
      </c>
      <c r="DH17" s="40">
        <v>83000000</v>
      </c>
      <c r="DK17"/>
      <c r="DL17"/>
      <c r="DP17"/>
      <c r="DQ17"/>
      <c r="DR17"/>
      <c r="DS17"/>
      <c r="DT17"/>
    </row>
    <row r="18" spans="12:124" ht="14.4" x14ac:dyDescent="0.3">
      <c r="L18"/>
      <c r="M18"/>
      <c r="N18"/>
      <c r="S18"/>
      <c r="T18"/>
      <c r="U18"/>
      <c r="AA18"/>
      <c r="AB18"/>
      <c r="AC18"/>
      <c r="AI18"/>
      <c r="AJ18"/>
      <c r="AK18"/>
      <c r="AQ18"/>
      <c r="AR18"/>
      <c r="AU18"/>
      <c r="AV18"/>
      <c r="AY18"/>
      <c r="AZ18"/>
      <c r="BB18"/>
      <c r="BC18"/>
      <c r="BF18"/>
      <c r="BG18"/>
      <c r="BM18"/>
      <c r="BN18"/>
      <c r="BY18"/>
      <c r="BZ18"/>
      <c r="CJ18"/>
      <c r="CK18"/>
      <c r="CN18"/>
      <c r="CO18"/>
      <c r="DC18"/>
      <c r="DD18"/>
      <c r="DK18"/>
      <c r="DL18"/>
      <c r="DP18"/>
      <c r="DQ18"/>
      <c r="DR18"/>
      <c r="DS18"/>
      <c r="DT18"/>
    </row>
    <row r="19" spans="12:124" ht="14.4" x14ac:dyDescent="0.3">
      <c r="L19"/>
      <c r="M19"/>
      <c r="N19"/>
      <c r="S19"/>
      <c r="T19"/>
      <c r="U19"/>
      <c r="AA19"/>
      <c r="AB19"/>
      <c r="AC19"/>
      <c r="AI19"/>
      <c r="AJ19"/>
      <c r="AK19"/>
      <c r="AQ19"/>
      <c r="AR19"/>
      <c r="AU19"/>
      <c r="AV19"/>
      <c r="AY19"/>
      <c r="AZ19"/>
      <c r="BB19"/>
      <c r="BC19"/>
      <c r="BF19"/>
      <c r="BG19"/>
      <c r="BM19"/>
      <c r="BN19"/>
      <c r="BY19"/>
      <c r="BZ19"/>
      <c r="CJ19"/>
      <c r="CK19"/>
      <c r="CN19"/>
      <c r="CO19"/>
      <c r="DC19"/>
      <c r="DD19"/>
      <c r="DK19"/>
      <c r="DL19"/>
      <c r="DP19"/>
      <c r="DQ19"/>
      <c r="DR19"/>
      <c r="DS19"/>
      <c r="DT19"/>
    </row>
    <row r="20" spans="12:124" ht="14.4" x14ac:dyDescent="0.3">
      <c r="L20"/>
      <c r="M20"/>
      <c r="N20"/>
      <c r="S20"/>
      <c r="T20"/>
      <c r="U20"/>
      <c r="AA20"/>
      <c r="AB20"/>
      <c r="AC20"/>
      <c r="AI20"/>
      <c r="AJ20"/>
      <c r="AK20"/>
      <c r="AQ20"/>
      <c r="AR20"/>
      <c r="AU20"/>
      <c r="AV20"/>
      <c r="AY20"/>
      <c r="AZ20"/>
      <c r="BB20"/>
      <c r="BC20"/>
      <c r="BF20"/>
      <c r="BG20"/>
      <c r="BM20"/>
      <c r="BN20"/>
      <c r="BY20"/>
      <c r="BZ20"/>
      <c r="CJ20"/>
      <c r="CK20"/>
      <c r="CN20"/>
      <c r="CO20"/>
      <c r="DC20"/>
      <c r="DD20"/>
      <c r="DK20"/>
      <c r="DL20"/>
      <c r="DP20"/>
      <c r="DQ20"/>
      <c r="DR20"/>
      <c r="DS20"/>
      <c r="DT20"/>
    </row>
    <row r="21" spans="12:124" ht="14.4" x14ac:dyDescent="0.3">
      <c r="L21"/>
      <c r="M21"/>
      <c r="N21"/>
      <c r="S21"/>
      <c r="T21"/>
      <c r="U21"/>
      <c r="AA21"/>
      <c r="AB21"/>
      <c r="AC21"/>
      <c r="AI21"/>
      <c r="AJ21"/>
      <c r="AK21"/>
      <c r="AQ21"/>
      <c r="AR21"/>
      <c r="AU21"/>
      <c r="AV21"/>
      <c r="AY21"/>
      <c r="AZ21"/>
      <c r="BB21"/>
      <c r="BC21"/>
      <c r="BF21"/>
      <c r="BG21"/>
      <c r="BM21"/>
      <c r="BN21"/>
      <c r="BY21"/>
      <c r="BZ21"/>
      <c r="CJ21"/>
      <c r="CK21"/>
      <c r="CN21"/>
      <c r="CO21"/>
      <c r="DC21"/>
      <c r="DD21"/>
      <c r="DK21"/>
      <c r="DL21"/>
      <c r="DP21"/>
      <c r="DQ21"/>
      <c r="DR21"/>
      <c r="DS21"/>
      <c r="DT21"/>
    </row>
    <row r="22" spans="12:124" ht="14.4" x14ac:dyDescent="0.3">
      <c r="S22"/>
      <c r="T22"/>
      <c r="AA22"/>
      <c r="AB22"/>
      <c r="AI22"/>
      <c r="AJ22"/>
      <c r="AQ22"/>
      <c r="AR22"/>
      <c r="AU22"/>
      <c r="AV22"/>
      <c r="AY22"/>
      <c r="AZ22"/>
      <c r="BB22"/>
      <c r="BC22"/>
      <c r="BF22"/>
      <c r="BG22"/>
      <c r="BM22"/>
      <c r="BN22"/>
      <c r="BY22"/>
      <c r="BZ22"/>
      <c r="CJ22"/>
      <c r="CK22"/>
      <c r="CN22"/>
      <c r="CO22"/>
      <c r="DC22"/>
      <c r="DD22"/>
      <c r="DK22"/>
      <c r="DL22"/>
      <c r="DP22"/>
      <c r="DQ22"/>
    </row>
    <row r="23" spans="12:124" ht="14.4" x14ac:dyDescent="0.3">
      <c r="S23"/>
      <c r="T23"/>
      <c r="AA23"/>
      <c r="AB23"/>
      <c r="AI23"/>
      <c r="AJ23"/>
      <c r="AQ23"/>
      <c r="AR23"/>
      <c r="AU23"/>
      <c r="AV23"/>
      <c r="AY23"/>
      <c r="AZ23"/>
      <c r="BB23"/>
      <c r="BC23"/>
      <c r="BF23"/>
      <c r="BG23"/>
      <c r="BM23"/>
      <c r="BN23"/>
      <c r="BY23"/>
      <c r="BZ23"/>
      <c r="CJ23"/>
      <c r="CK23"/>
      <c r="CN23"/>
      <c r="CO23"/>
      <c r="DC23"/>
      <c r="DD23"/>
      <c r="DK23"/>
      <c r="DL23"/>
      <c r="DP23"/>
      <c r="DQ23"/>
    </row>
    <row r="24" spans="12:124" ht="14.4" x14ac:dyDescent="0.3">
      <c r="S24"/>
      <c r="T24"/>
      <c r="AA24"/>
      <c r="AB24"/>
      <c r="AI24"/>
      <c r="AJ24"/>
      <c r="AQ24"/>
      <c r="AR24"/>
      <c r="AU24"/>
      <c r="AV24"/>
      <c r="AY24"/>
      <c r="AZ24"/>
      <c r="BB24"/>
      <c r="BC24"/>
      <c r="BF24"/>
      <c r="BG24"/>
      <c r="BM24"/>
      <c r="BN24"/>
      <c r="BY24"/>
      <c r="BZ24"/>
      <c r="CJ24"/>
      <c r="CK24"/>
      <c r="CN24"/>
      <c r="CO24"/>
      <c r="DC24"/>
      <c r="DD24"/>
      <c r="DK24"/>
      <c r="DL24"/>
      <c r="DP24"/>
      <c r="DQ24"/>
    </row>
    <row r="25" spans="12:124" ht="14.4" x14ac:dyDescent="0.3">
      <c r="S25"/>
      <c r="T25"/>
      <c r="AA25"/>
      <c r="AB25"/>
      <c r="AI25"/>
      <c r="AJ25"/>
      <c r="AQ25"/>
      <c r="AR25"/>
      <c r="AU25"/>
      <c r="AV25"/>
      <c r="AY25"/>
      <c r="AZ25"/>
      <c r="BB25"/>
      <c r="BC25"/>
      <c r="BF25"/>
      <c r="BG25"/>
      <c r="BM25"/>
      <c r="BN25"/>
      <c r="BY25"/>
      <c r="BZ25"/>
      <c r="CJ25"/>
      <c r="CK25"/>
      <c r="CN25"/>
      <c r="CO25"/>
      <c r="DC25"/>
      <c r="DD25"/>
      <c r="DK25"/>
      <c r="DL25"/>
      <c r="DP25"/>
      <c r="DQ25"/>
    </row>
    <row r="26" spans="12:124" ht="14.4" x14ac:dyDescent="0.3">
      <c r="S26"/>
      <c r="T26"/>
      <c r="AA26"/>
      <c r="AB26"/>
      <c r="AI26"/>
      <c r="AJ26"/>
      <c r="AQ26"/>
      <c r="AR26"/>
      <c r="AU26"/>
      <c r="AV26"/>
      <c r="AY26"/>
      <c r="AZ26"/>
      <c r="BB26"/>
      <c r="BC26"/>
      <c r="BF26"/>
      <c r="BG26"/>
      <c r="BM26"/>
      <c r="BN26"/>
      <c r="BY26"/>
      <c r="BZ26"/>
      <c r="CJ26"/>
      <c r="CK26"/>
      <c r="CN26"/>
      <c r="CO26"/>
      <c r="DC26"/>
      <c r="DD26"/>
      <c r="DK26"/>
      <c r="DL26"/>
      <c r="DP26"/>
      <c r="DQ26"/>
    </row>
    <row r="27" spans="12:124" ht="14.4" x14ac:dyDescent="0.3">
      <c r="S27"/>
      <c r="T27"/>
      <c r="AA27"/>
      <c r="AB27"/>
      <c r="AI27"/>
      <c r="AJ27"/>
      <c r="AQ27"/>
      <c r="AR27"/>
      <c r="AU27"/>
      <c r="AV27"/>
      <c r="AY27"/>
      <c r="AZ27"/>
      <c r="BB27"/>
      <c r="BC27"/>
      <c r="BF27"/>
      <c r="BG27"/>
      <c r="BM27"/>
      <c r="BN27"/>
      <c r="BY27"/>
      <c r="BZ27"/>
      <c r="CJ27"/>
      <c r="CK27"/>
      <c r="CN27"/>
      <c r="CO27"/>
      <c r="DC27"/>
      <c r="DD27"/>
      <c r="DK27"/>
      <c r="DL27"/>
      <c r="DP27"/>
      <c r="DQ27"/>
    </row>
    <row r="28" spans="12:124" ht="14.4" x14ac:dyDescent="0.3">
      <c r="S28"/>
      <c r="T28"/>
      <c r="AA28"/>
      <c r="AB28"/>
      <c r="AI28"/>
      <c r="AJ28"/>
      <c r="AQ28"/>
      <c r="AR28"/>
      <c r="AU28"/>
      <c r="AV28"/>
      <c r="AY28"/>
      <c r="AZ28"/>
      <c r="BB28"/>
      <c r="BC28"/>
      <c r="BF28"/>
      <c r="BG28"/>
      <c r="BM28"/>
      <c r="BN28"/>
      <c r="BY28"/>
      <c r="BZ28"/>
      <c r="CJ28"/>
      <c r="CK28"/>
      <c r="CN28"/>
      <c r="CO28"/>
      <c r="DC28"/>
      <c r="DD28"/>
      <c r="DK28"/>
      <c r="DL28"/>
      <c r="DP28"/>
      <c r="DQ28"/>
    </row>
    <row r="29" spans="12:124" ht="14.4" x14ac:dyDescent="0.3">
      <c r="S29"/>
      <c r="T29"/>
      <c r="AA29"/>
      <c r="AB29"/>
      <c r="AI29"/>
      <c r="AJ29"/>
      <c r="AQ29"/>
      <c r="AR29"/>
      <c r="AU29"/>
      <c r="AV29"/>
      <c r="AY29"/>
      <c r="AZ29"/>
      <c r="BB29"/>
      <c r="BC29"/>
      <c r="BF29"/>
      <c r="BG29"/>
      <c r="BM29"/>
      <c r="BN29"/>
      <c r="BY29"/>
      <c r="BZ29"/>
      <c r="CJ29"/>
      <c r="CK29"/>
      <c r="CN29"/>
      <c r="CO29"/>
      <c r="DC29"/>
      <c r="DD29"/>
      <c r="DK29"/>
      <c r="DL29"/>
      <c r="DP29"/>
      <c r="DQ29"/>
    </row>
    <row r="30" spans="12:124" ht="14.4" x14ac:dyDescent="0.3">
      <c r="S30"/>
      <c r="T30"/>
      <c r="AA30"/>
      <c r="AB30"/>
      <c r="AI30"/>
      <c r="AJ30"/>
      <c r="AQ30"/>
      <c r="AR30"/>
      <c r="AU30"/>
      <c r="AV30"/>
      <c r="AY30"/>
      <c r="AZ30"/>
      <c r="BB30"/>
      <c r="BC30"/>
      <c r="BF30"/>
      <c r="BG30"/>
      <c r="BM30"/>
      <c r="BN30"/>
      <c r="BY30"/>
      <c r="BZ30"/>
      <c r="CJ30"/>
      <c r="CK30"/>
      <c r="CN30"/>
      <c r="CO30"/>
      <c r="DC30"/>
      <c r="DD30"/>
      <c r="DK30"/>
      <c r="DL30"/>
      <c r="DP30"/>
      <c r="DQ30"/>
    </row>
    <row r="31" spans="12:124" ht="14.4" x14ac:dyDescent="0.3">
      <c r="S31"/>
      <c r="T31"/>
      <c r="AA31"/>
      <c r="AB31"/>
      <c r="AI31"/>
      <c r="AJ31"/>
      <c r="AQ31"/>
      <c r="AR31"/>
      <c r="AU31"/>
      <c r="AV31"/>
      <c r="AY31"/>
      <c r="AZ31"/>
      <c r="BB31"/>
      <c r="BC31"/>
      <c r="BF31"/>
      <c r="BG31"/>
      <c r="BM31"/>
      <c r="BN31"/>
      <c r="BY31"/>
      <c r="BZ31"/>
      <c r="CJ31"/>
      <c r="CK31"/>
      <c r="CN31"/>
      <c r="CO31"/>
      <c r="DC31"/>
      <c r="DD31"/>
      <c r="DK31"/>
      <c r="DL31"/>
      <c r="DP31"/>
      <c r="DQ31"/>
    </row>
    <row r="32" spans="12:124" ht="14.4" x14ac:dyDescent="0.3">
      <c r="S32"/>
      <c r="T32"/>
      <c r="AA32"/>
      <c r="AB32"/>
      <c r="AI32"/>
      <c r="AJ32"/>
      <c r="AQ32"/>
      <c r="AR32"/>
      <c r="AU32"/>
      <c r="AV32"/>
      <c r="AY32"/>
      <c r="AZ32"/>
      <c r="BB32"/>
      <c r="BC32"/>
      <c r="BF32"/>
      <c r="BG32"/>
      <c r="BM32"/>
      <c r="BN32"/>
      <c r="BY32"/>
      <c r="BZ32"/>
      <c r="CJ32"/>
      <c r="CK32"/>
      <c r="CN32"/>
      <c r="CO32"/>
      <c r="DC32"/>
      <c r="DD32"/>
      <c r="DK32"/>
      <c r="DL32"/>
      <c r="DP32"/>
      <c r="DQ32"/>
    </row>
    <row r="33" spans="19:121" ht="14.4" x14ac:dyDescent="0.3">
      <c r="S33"/>
      <c r="T33"/>
      <c r="AA33"/>
      <c r="AB33"/>
      <c r="AI33"/>
      <c r="AJ33"/>
      <c r="AQ33"/>
      <c r="AR33"/>
      <c r="AU33"/>
      <c r="AV33"/>
      <c r="AY33"/>
      <c r="AZ33"/>
      <c r="BB33"/>
      <c r="BC33"/>
      <c r="BF33"/>
      <c r="BG33"/>
      <c r="BM33"/>
      <c r="BN33"/>
      <c r="BY33"/>
      <c r="BZ33"/>
      <c r="CJ33"/>
      <c r="CK33"/>
      <c r="CN33"/>
      <c r="CO33"/>
      <c r="DC33"/>
      <c r="DD33"/>
      <c r="DK33"/>
      <c r="DL33"/>
      <c r="DP33"/>
      <c r="DQ33"/>
    </row>
    <row r="34" spans="19:121" ht="14.4" x14ac:dyDescent="0.3">
      <c r="S34"/>
      <c r="T34"/>
      <c r="AA34"/>
      <c r="AB34"/>
      <c r="AI34"/>
      <c r="AJ34"/>
      <c r="AQ34"/>
      <c r="AR34"/>
      <c r="AU34"/>
      <c r="AV34"/>
      <c r="AY34"/>
      <c r="AZ34"/>
      <c r="BB34"/>
      <c r="BC34"/>
      <c r="BF34"/>
      <c r="BG34"/>
      <c r="BM34"/>
      <c r="BN34"/>
      <c r="BY34"/>
      <c r="BZ34"/>
      <c r="CJ34"/>
      <c r="CK34"/>
      <c r="CN34"/>
      <c r="CO34"/>
      <c r="DC34"/>
      <c r="DD34"/>
      <c r="DK34"/>
      <c r="DL34"/>
      <c r="DP34"/>
      <c r="DQ34"/>
    </row>
    <row r="35" spans="19:121" ht="14.4" x14ac:dyDescent="0.3">
      <c r="S35"/>
      <c r="T35"/>
      <c r="AA35"/>
      <c r="AB35"/>
      <c r="AI35"/>
      <c r="AJ35"/>
      <c r="AQ35"/>
      <c r="AR35"/>
      <c r="AU35"/>
      <c r="AV35"/>
      <c r="AY35"/>
      <c r="AZ35"/>
      <c r="BB35"/>
      <c r="BC35"/>
      <c r="BF35"/>
      <c r="BG35"/>
      <c r="BM35"/>
      <c r="BN35"/>
      <c r="BY35"/>
      <c r="BZ35"/>
      <c r="CJ35"/>
      <c r="CK35"/>
      <c r="CN35"/>
      <c r="CO35"/>
      <c r="DC35"/>
      <c r="DD35"/>
      <c r="DK35"/>
      <c r="DL35"/>
      <c r="DP35"/>
      <c r="DQ35"/>
    </row>
    <row r="36" spans="19:121" ht="14.4" x14ac:dyDescent="0.3">
      <c r="S36"/>
      <c r="T36"/>
      <c r="AA36"/>
      <c r="AB36"/>
      <c r="AI36"/>
      <c r="AJ36"/>
      <c r="AQ36"/>
      <c r="AR36"/>
      <c r="AU36"/>
      <c r="AV36"/>
      <c r="AY36"/>
      <c r="AZ36"/>
      <c r="BB36"/>
      <c r="BC36"/>
      <c r="BF36"/>
      <c r="BG36"/>
      <c r="BM36"/>
      <c r="BN36"/>
      <c r="BY36"/>
      <c r="BZ36"/>
      <c r="CJ36"/>
      <c r="CK36"/>
      <c r="CN36"/>
      <c r="CO36"/>
      <c r="DC36"/>
      <c r="DD36"/>
      <c r="DK36"/>
      <c r="DL36"/>
      <c r="DP36"/>
      <c r="DQ36"/>
    </row>
    <row r="37" spans="19:121" ht="14.4" x14ac:dyDescent="0.3">
      <c r="S37"/>
      <c r="T37"/>
      <c r="AA37"/>
      <c r="AB37"/>
      <c r="AI37"/>
      <c r="AJ37"/>
      <c r="AQ37"/>
      <c r="AR37"/>
      <c r="AU37"/>
      <c r="AV37"/>
      <c r="AY37"/>
      <c r="AZ37"/>
      <c r="BB37"/>
      <c r="BC37"/>
      <c r="BF37"/>
      <c r="BG37"/>
      <c r="BM37"/>
      <c r="BN37"/>
      <c r="BY37"/>
      <c r="BZ37"/>
      <c r="CJ37"/>
      <c r="CK37"/>
      <c r="CN37"/>
      <c r="CO37"/>
      <c r="DC37"/>
      <c r="DD37"/>
      <c r="DK37"/>
      <c r="DL37"/>
      <c r="DP37"/>
      <c r="DQ37"/>
    </row>
    <row r="38" spans="19:121" ht="14.4" x14ac:dyDescent="0.3">
      <c r="S38"/>
      <c r="T38"/>
      <c r="AA38"/>
      <c r="AB38"/>
      <c r="AI38"/>
      <c r="AJ38"/>
      <c r="AQ38"/>
      <c r="AR38"/>
      <c r="AU38"/>
      <c r="AV38"/>
      <c r="AY38"/>
      <c r="AZ38"/>
      <c r="BB38"/>
      <c r="BC38"/>
      <c r="BF38"/>
      <c r="BG38"/>
      <c r="BM38"/>
      <c r="BN38"/>
      <c r="BY38"/>
      <c r="BZ38"/>
      <c r="CJ38"/>
      <c r="CK38"/>
      <c r="CN38"/>
      <c r="CO38"/>
      <c r="DC38"/>
      <c r="DD38"/>
      <c r="DK38"/>
      <c r="DL38"/>
      <c r="DP38"/>
      <c r="DQ38"/>
    </row>
    <row r="39" spans="19:121" ht="14.4" x14ac:dyDescent="0.3">
      <c r="S39"/>
      <c r="T39"/>
      <c r="AA39"/>
      <c r="AB39"/>
      <c r="AI39"/>
      <c r="AJ39"/>
      <c r="AQ39"/>
      <c r="AR39"/>
      <c r="AU39"/>
      <c r="AV39"/>
      <c r="AY39"/>
      <c r="AZ39"/>
      <c r="BB39"/>
      <c r="BC39"/>
      <c r="BF39"/>
      <c r="BG39"/>
      <c r="BM39"/>
      <c r="BN39"/>
      <c r="BY39"/>
      <c r="BZ39"/>
      <c r="CJ39"/>
      <c r="CK39"/>
      <c r="CN39"/>
      <c r="CO39"/>
      <c r="DC39"/>
      <c r="DD39"/>
      <c r="DK39"/>
      <c r="DL39"/>
      <c r="DP39"/>
      <c r="DQ39"/>
    </row>
    <row r="40" spans="19:121" ht="14.4" x14ac:dyDescent="0.3">
      <c r="S40"/>
      <c r="T40"/>
      <c r="AA40"/>
      <c r="AB40"/>
      <c r="AI40"/>
      <c r="AJ40"/>
      <c r="AQ40"/>
      <c r="AR40"/>
      <c r="AU40"/>
      <c r="AV40"/>
      <c r="AY40"/>
      <c r="AZ40"/>
      <c r="BB40"/>
      <c r="BC40"/>
      <c r="BF40"/>
      <c r="BG40"/>
      <c r="BM40"/>
      <c r="BN40"/>
      <c r="BY40"/>
      <c r="BZ40"/>
      <c r="CJ40"/>
      <c r="CK40"/>
      <c r="CN40"/>
      <c r="CO40"/>
      <c r="DC40"/>
      <c r="DD40"/>
      <c r="DK40"/>
      <c r="DL40"/>
      <c r="DP40"/>
      <c r="DQ40"/>
    </row>
    <row r="41" spans="19:121" ht="14.4" x14ac:dyDescent="0.3">
      <c r="S41"/>
      <c r="T41"/>
      <c r="AA41"/>
      <c r="AB41"/>
      <c r="AI41"/>
      <c r="AJ41"/>
      <c r="AQ41"/>
      <c r="AR41"/>
      <c r="AU41"/>
      <c r="AV41"/>
      <c r="AY41"/>
      <c r="AZ41"/>
      <c r="BB41"/>
      <c r="BC41"/>
      <c r="BF41"/>
      <c r="BG41"/>
      <c r="BM41"/>
      <c r="BN41"/>
      <c r="BY41"/>
      <c r="BZ41"/>
      <c r="CJ41"/>
      <c r="CK41"/>
      <c r="CN41"/>
      <c r="CO41"/>
      <c r="DC41"/>
      <c r="DD41"/>
      <c r="DK41"/>
      <c r="DL41"/>
      <c r="DP41"/>
      <c r="DQ41"/>
    </row>
    <row r="42" spans="19:121" ht="14.4" x14ac:dyDescent="0.3">
      <c r="S42"/>
      <c r="T42"/>
      <c r="AA42"/>
      <c r="AB42"/>
      <c r="AI42"/>
      <c r="AJ42"/>
      <c r="AQ42"/>
      <c r="AR42"/>
      <c r="AU42"/>
      <c r="AV42"/>
      <c r="AY42"/>
      <c r="AZ42"/>
      <c r="BB42"/>
      <c r="BC42"/>
      <c r="BF42"/>
      <c r="BG42"/>
      <c r="BM42"/>
      <c r="BN42"/>
      <c r="BY42"/>
      <c r="BZ42"/>
      <c r="CJ42"/>
      <c r="CK42"/>
      <c r="CN42"/>
      <c r="CO42"/>
      <c r="DC42"/>
      <c r="DD42"/>
      <c r="DK42"/>
      <c r="DL42"/>
      <c r="DP42"/>
      <c r="DQ42"/>
    </row>
    <row r="43" spans="19:121" ht="14.4" x14ac:dyDescent="0.3">
      <c r="S43"/>
      <c r="T43"/>
      <c r="AA43"/>
      <c r="AB43"/>
      <c r="AI43"/>
      <c r="AJ43"/>
      <c r="AQ43"/>
      <c r="AR43"/>
      <c r="AU43"/>
      <c r="AV43"/>
      <c r="AY43"/>
      <c r="AZ43"/>
      <c r="BB43"/>
      <c r="BC43"/>
      <c r="BF43"/>
      <c r="BG43"/>
      <c r="BM43"/>
      <c r="BN43"/>
      <c r="BY43"/>
      <c r="BZ43"/>
      <c r="CJ43"/>
      <c r="CK43"/>
      <c r="CN43"/>
      <c r="CO43"/>
      <c r="DC43"/>
      <c r="DD43"/>
      <c r="DK43"/>
      <c r="DL43"/>
      <c r="DP43"/>
      <c r="DQ43"/>
    </row>
    <row r="44" spans="19:121" ht="14.4" x14ac:dyDescent="0.3">
      <c r="S44"/>
      <c r="T44"/>
      <c r="AA44"/>
      <c r="AB44"/>
      <c r="AI44"/>
      <c r="AJ44"/>
      <c r="AQ44"/>
      <c r="AR44"/>
      <c r="AU44"/>
      <c r="AV44"/>
      <c r="AY44"/>
      <c r="AZ44"/>
      <c r="BB44"/>
      <c r="BC44"/>
      <c r="BF44"/>
      <c r="BG44"/>
      <c r="BM44"/>
      <c r="BN44"/>
      <c r="BY44"/>
      <c r="BZ44"/>
      <c r="CJ44"/>
      <c r="CK44"/>
      <c r="CN44"/>
      <c r="CO44"/>
      <c r="DC44"/>
      <c r="DD44"/>
      <c r="DK44"/>
      <c r="DL44"/>
      <c r="DP44"/>
      <c r="DQ44"/>
    </row>
    <row r="45" spans="19:121" ht="14.4" x14ac:dyDescent="0.3">
      <c r="S45"/>
      <c r="T45"/>
      <c r="AA45"/>
      <c r="AB45"/>
      <c r="AI45"/>
      <c r="AJ45"/>
      <c r="AQ45"/>
      <c r="AR45"/>
      <c r="AU45"/>
      <c r="AV45"/>
      <c r="AY45"/>
      <c r="AZ45"/>
      <c r="BB45"/>
      <c r="BC45"/>
      <c r="BF45"/>
      <c r="BG45"/>
      <c r="BM45"/>
      <c r="BN45"/>
      <c r="BY45"/>
      <c r="BZ45"/>
      <c r="CJ45"/>
      <c r="CK45"/>
      <c r="CN45"/>
      <c r="CO45"/>
      <c r="DC45"/>
      <c r="DD45"/>
      <c r="DK45"/>
      <c r="DL45"/>
      <c r="DP45"/>
      <c r="DQ45"/>
    </row>
    <row r="46" spans="19:121" ht="14.4" x14ac:dyDescent="0.3">
      <c r="S46"/>
      <c r="T46"/>
      <c r="AA46"/>
      <c r="AB46"/>
      <c r="AI46"/>
      <c r="AJ46"/>
      <c r="AQ46"/>
      <c r="AR46"/>
      <c r="AU46"/>
      <c r="AV46"/>
      <c r="AY46"/>
      <c r="AZ46"/>
      <c r="BB46"/>
      <c r="BC46"/>
      <c r="BF46"/>
      <c r="BG46"/>
      <c r="BM46"/>
      <c r="BN46"/>
      <c r="BY46"/>
      <c r="BZ46"/>
      <c r="CJ46"/>
      <c r="CK46"/>
      <c r="CN46"/>
      <c r="CO46"/>
      <c r="DC46"/>
      <c r="DD46"/>
      <c r="DK46"/>
      <c r="DL46"/>
      <c r="DP46"/>
      <c r="DQ46"/>
    </row>
    <row r="47" spans="19:121" ht="14.4" x14ac:dyDescent="0.3">
      <c r="S47"/>
      <c r="T47"/>
      <c r="AA47"/>
      <c r="AB47"/>
      <c r="AI47"/>
      <c r="AJ47"/>
      <c r="AQ47"/>
      <c r="AR47"/>
      <c r="AU47"/>
      <c r="AV47"/>
      <c r="AY47"/>
      <c r="AZ47"/>
      <c r="BB47"/>
      <c r="BC47"/>
      <c r="BF47"/>
      <c r="BG47"/>
      <c r="BM47"/>
      <c r="BN47"/>
      <c r="BY47"/>
      <c r="BZ47"/>
      <c r="CJ47"/>
      <c r="CK47"/>
      <c r="CN47"/>
      <c r="CO47"/>
      <c r="DC47"/>
      <c r="DD47"/>
      <c r="DK47"/>
      <c r="DL47"/>
      <c r="DP47"/>
      <c r="DQ47"/>
    </row>
    <row r="48" spans="19:121" ht="14.4" x14ac:dyDescent="0.3">
      <c r="S48"/>
      <c r="T48"/>
      <c r="AA48"/>
      <c r="AB48"/>
      <c r="AI48"/>
      <c r="AJ48"/>
      <c r="AQ48"/>
      <c r="AR48"/>
      <c r="AU48"/>
      <c r="AV48"/>
      <c r="AY48"/>
      <c r="AZ48"/>
      <c r="BB48"/>
      <c r="BC48"/>
      <c r="BF48"/>
      <c r="BG48"/>
      <c r="BM48"/>
      <c r="BN48"/>
      <c r="BY48"/>
      <c r="BZ48"/>
      <c r="CJ48"/>
      <c r="CK48"/>
      <c r="CN48"/>
      <c r="CO48"/>
      <c r="DC48"/>
      <c r="DD48"/>
      <c r="DK48"/>
      <c r="DL48"/>
      <c r="DP48"/>
      <c r="DQ48"/>
    </row>
    <row r="49" spans="19:121" ht="14.4" x14ac:dyDescent="0.3">
      <c r="S49"/>
      <c r="T49"/>
      <c r="AA49"/>
      <c r="AB49"/>
      <c r="AI49"/>
      <c r="AJ49"/>
      <c r="AQ49"/>
      <c r="AR49"/>
      <c r="AU49"/>
      <c r="AV49"/>
      <c r="AY49"/>
      <c r="AZ49"/>
      <c r="BB49"/>
      <c r="BC49"/>
      <c r="BF49"/>
      <c r="BG49"/>
      <c r="BM49"/>
      <c r="BN49"/>
      <c r="BY49"/>
      <c r="BZ49"/>
      <c r="CJ49"/>
      <c r="CK49"/>
      <c r="CN49"/>
      <c r="CO49"/>
      <c r="DC49"/>
      <c r="DD49"/>
      <c r="DK49"/>
      <c r="DL49"/>
      <c r="DP49"/>
      <c r="DQ49"/>
    </row>
    <row r="50" spans="19:121" ht="14.4" x14ac:dyDescent="0.3">
      <c r="S50"/>
      <c r="T50"/>
      <c r="AA50"/>
      <c r="AB50"/>
      <c r="AI50"/>
      <c r="AJ50"/>
      <c r="AQ50"/>
      <c r="AR50"/>
      <c r="AU50"/>
      <c r="AV50"/>
      <c r="AY50"/>
      <c r="AZ50"/>
      <c r="BB50"/>
      <c r="BC50"/>
      <c r="BF50"/>
      <c r="BG50"/>
      <c r="BM50"/>
      <c r="BN50"/>
      <c r="BY50"/>
      <c r="BZ50"/>
      <c r="CJ50"/>
      <c r="CK50"/>
      <c r="CN50"/>
      <c r="CO50"/>
      <c r="DC50"/>
      <c r="DD50"/>
      <c r="DK50"/>
      <c r="DL50"/>
      <c r="DP50"/>
      <c r="DQ50"/>
    </row>
    <row r="51" spans="19:121" ht="14.4" x14ac:dyDescent="0.3">
      <c r="S51"/>
      <c r="T51"/>
      <c r="AA51"/>
      <c r="AB51"/>
      <c r="AI51"/>
      <c r="AJ51"/>
      <c r="AQ51"/>
      <c r="AR51"/>
      <c r="AU51"/>
      <c r="AV51"/>
      <c r="AY51"/>
      <c r="AZ51"/>
      <c r="BB51"/>
      <c r="BC51"/>
      <c r="BF51"/>
      <c r="BG51"/>
      <c r="BM51"/>
      <c r="BN51"/>
      <c r="BY51"/>
      <c r="BZ51"/>
      <c r="CJ51"/>
      <c r="CK51"/>
      <c r="CN51"/>
      <c r="CO51"/>
      <c r="DC51"/>
      <c r="DD51"/>
      <c r="DK51"/>
      <c r="DL51"/>
      <c r="DP51"/>
      <c r="DQ51"/>
    </row>
    <row r="52" spans="19:121" ht="14.4" x14ac:dyDescent="0.3">
      <c r="S52"/>
      <c r="T52"/>
      <c r="AA52"/>
      <c r="AB52"/>
      <c r="AI52"/>
      <c r="AJ52"/>
      <c r="AQ52"/>
      <c r="AR52"/>
      <c r="AU52"/>
      <c r="AV52"/>
      <c r="AY52"/>
      <c r="AZ52"/>
      <c r="BB52"/>
      <c r="BC52"/>
      <c r="BF52"/>
      <c r="BG52"/>
      <c r="BM52"/>
      <c r="BN52"/>
      <c r="BY52"/>
      <c r="BZ52"/>
      <c r="CJ52"/>
      <c r="CK52"/>
      <c r="CN52"/>
      <c r="CO52"/>
      <c r="DC52"/>
      <c r="DD52"/>
      <c r="DK52"/>
      <c r="DL52"/>
      <c r="DP52"/>
      <c r="DQ52"/>
    </row>
    <row r="53" spans="19:121" ht="14.4" x14ac:dyDescent="0.3">
      <c r="S53"/>
      <c r="T53"/>
      <c r="AA53"/>
      <c r="AB53"/>
      <c r="AI53"/>
      <c r="AJ53"/>
      <c r="AQ53"/>
      <c r="AR53"/>
      <c r="AU53"/>
      <c r="AV53"/>
      <c r="AY53"/>
      <c r="AZ53"/>
      <c r="BB53"/>
      <c r="BC53"/>
      <c r="BF53"/>
      <c r="BG53"/>
      <c r="BM53"/>
      <c r="BN53"/>
      <c r="BY53"/>
      <c r="BZ53"/>
      <c r="CJ53"/>
      <c r="CK53"/>
      <c r="CN53"/>
      <c r="CO53"/>
      <c r="DC53"/>
      <c r="DD53"/>
      <c r="DK53"/>
      <c r="DL53"/>
      <c r="DP53"/>
      <c r="DQ53"/>
    </row>
    <row r="54" spans="19:121" ht="14.4" x14ac:dyDescent="0.3">
      <c r="S54"/>
      <c r="T54"/>
      <c r="AA54"/>
      <c r="AB54"/>
      <c r="AI54"/>
      <c r="AJ54"/>
      <c r="AQ54"/>
      <c r="AR54"/>
      <c r="AU54"/>
      <c r="AV54"/>
      <c r="AY54"/>
      <c r="AZ54"/>
      <c r="BB54"/>
      <c r="BC54"/>
      <c r="BF54"/>
      <c r="BG54"/>
      <c r="BM54"/>
      <c r="BN54"/>
      <c r="BY54"/>
      <c r="BZ54"/>
      <c r="CJ54"/>
      <c r="CK54"/>
      <c r="CN54"/>
      <c r="CO54"/>
      <c r="DC54"/>
      <c r="DD54"/>
      <c r="DK54"/>
      <c r="DL54"/>
      <c r="DP54"/>
      <c r="DQ54"/>
    </row>
    <row r="55" spans="19:121" ht="14.4" x14ac:dyDescent="0.3">
      <c r="S55"/>
      <c r="T55"/>
      <c r="AA55"/>
      <c r="AB55"/>
      <c r="AI55"/>
      <c r="AJ55"/>
      <c r="AQ55"/>
      <c r="AR55"/>
      <c r="AU55"/>
      <c r="AV55"/>
      <c r="AY55"/>
      <c r="AZ55"/>
      <c r="BB55"/>
      <c r="BC55"/>
      <c r="BF55"/>
      <c r="BG55"/>
      <c r="BM55"/>
      <c r="BN55"/>
      <c r="BY55"/>
      <c r="BZ55"/>
      <c r="CJ55"/>
      <c r="CK55"/>
      <c r="CN55"/>
      <c r="CO55"/>
      <c r="DC55"/>
      <c r="DD55"/>
      <c r="DK55"/>
      <c r="DL55"/>
      <c r="DP55"/>
      <c r="DQ55"/>
    </row>
    <row r="56" spans="19:121" ht="14.4" x14ac:dyDescent="0.3">
      <c r="S56"/>
      <c r="T56"/>
      <c r="AA56"/>
      <c r="AB56"/>
      <c r="AI56"/>
      <c r="AJ56"/>
      <c r="AQ56"/>
      <c r="AR56"/>
      <c r="AU56"/>
      <c r="AV56"/>
      <c r="AY56"/>
      <c r="AZ56"/>
      <c r="BB56"/>
      <c r="BC56"/>
      <c r="BF56"/>
      <c r="BG56"/>
      <c r="BM56"/>
      <c r="BN56"/>
      <c r="BY56"/>
      <c r="BZ56"/>
      <c r="CJ56"/>
      <c r="CK56"/>
      <c r="CN56"/>
      <c r="CO56"/>
      <c r="DC56"/>
      <c r="DD56"/>
      <c r="DK56"/>
      <c r="DL56"/>
      <c r="DP56"/>
      <c r="DQ56"/>
    </row>
    <row r="57" spans="19:121" ht="14.4" x14ac:dyDescent="0.3">
      <c r="S57"/>
      <c r="T57"/>
      <c r="AA57"/>
      <c r="AB57"/>
      <c r="AI57"/>
      <c r="AJ57"/>
      <c r="AQ57"/>
      <c r="AR57"/>
      <c r="AU57"/>
      <c r="AV57"/>
      <c r="AY57"/>
      <c r="AZ57"/>
      <c r="BB57"/>
      <c r="BC57"/>
      <c r="BF57"/>
      <c r="BG57"/>
      <c r="BM57"/>
      <c r="BN57"/>
      <c r="BY57"/>
      <c r="BZ57"/>
      <c r="CJ57"/>
      <c r="CK57"/>
      <c r="CN57"/>
      <c r="CO57"/>
      <c r="DC57"/>
      <c r="DD57"/>
      <c r="DK57"/>
      <c r="DL57"/>
      <c r="DP57"/>
      <c r="DQ57"/>
    </row>
    <row r="58" spans="19:121" ht="14.4" x14ac:dyDescent="0.3">
      <c r="S58"/>
      <c r="T58"/>
      <c r="AA58"/>
      <c r="AB58"/>
      <c r="AI58"/>
      <c r="AJ58"/>
      <c r="AQ58"/>
      <c r="AR58"/>
      <c r="AU58"/>
      <c r="AV58"/>
      <c r="AY58"/>
      <c r="AZ58"/>
      <c r="BB58"/>
      <c r="BC58"/>
      <c r="BF58"/>
      <c r="BG58"/>
      <c r="BM58"/>
      <c r="BN58"/>
      <c r="BY58"/>
      <c r="BZ58"/>
      <c r="CJ58"/>
      <c r="CK58"/>
      <c r="CN58"/>
      <c r="CO58"/>
      <c r="DC58"/>
      <c r="DD58"/>
      <c r="DK58"/>
      <c r="DL58"/>
      <c r="DP58"/>
      <c r="DQ58"/>
    </row>
    <row r="59" spans="19:121" ht="14.4" x14ac:dyDescent="0.3">
      <c r="S59"/>
      <c r="T59"/>
      <c r="AA59"/>
      <c r="AB59"/>
      <c r="AI59"/>
      <c r="AJ59"/>
      <c r="AQ59"/>
      <c r="AR59"/>
      <c r="AU59"/>
      <c r="AV59"/>
      <c r="AY59"/>
      <c r="AZ59"/>
      <c r="BB59"/>
      <c r="BC59"/>
      <c r="BF59"/>
      <c r="BG59"/>
      <c r="BM59"/>
      <c r="BN59"/>
      <c r="BY59"/>
      <c r="BZ59"/>
      <c r="CJ59"/>
      <c r="CK59"/>
      <c r="CN59"/>
      <c r="CO59"/>
      <c r="DC59"/>
      <c r="DD59"/>
      <c r="DK59"/>
      <c r="DL59"/>
      <c r="DP59"/>
      <c r="DQ59"/>
    </row>
    <row r="60" spans="19:121" ht="14.4" x14ac:dyDescent="0.3">
      <c r="S60"/>
      <c r="T60"/>
      <c r="AA60"/>
      <c r="AB60"/>
      <c r="AI60"/>
      <c r="AJ60"/>
      <c r="AQ60"/>
      <c r="AR60"/>
      <c r="AU60"/>
      <c r="AV60"/>
      <c r="AY60"/>
      <c r="AZ60"/>
      <c r="BB60"/>
      <c r="BC60"/>
      <c r="BF60"/>
      <c r="BG60"/>
      <c r="BM60"/>
      <c r="BN60"/>
      <c r="BY60"/>
      <c r="BZ60"/>
      <c r="CJ60"/>
      <c r="CK60"/>
      <c r="CN60"/>
      <c r="CO60"/>
      <c r="DC60"/>
      <c r="DD60"/>
      <c r="DK60"/>
      <c r="DL60"/>
      <c r="DP60"/>
      <c r="DQ60"/>
    </row>
    <row r="61" spans="19:121" ht="14.4" x14ac:dyDescent="0.3">
      <c r="S61"/>
      <c r="T61"/>
      <c r="AA61"/>
      <c r="AB61"/>
      <c r="AI61"/>
      <c r="AJ61"/>
      <c r="AQ61"/>
      <c r="AR61"/>
      <c r="AU61"/>
      <c r="AV61"/>
      <c r="AY61"/>
      <c r="AZ61"/>
      <c r="BB61"/>
      <c r="BC61"/>
      <c r="BF61"/>
      <c r="BG61"/>
      <c r="BM61"/>
      <c r="BN61"/>
      <c r="BY61"/>
      <c r="BZ61"/>
      <c r="CJ61"/>
      <c r="CK61"/>
      <c r="CN61"/>
      <c r="CO61"/>
      <c r="DC61"/>
      <c r="DD61"/>
      <c r="DK61"/>
      <c r="DL61"/>
      <c r="DP61"/>
      <c r="DQ61"/>
    </row>
    <row r="62" spans="19:121" ht="14.4" x14ac:dyDescent="0.3">
      <c r="S62"/>
      <c r="T62"/>
      <c r="AA62"/>
      <c r="AB62"/>
      <c r="AI62"/>
      <c r="AJ62"/>
      <c r="AQ62"/>
      <c r="AR62"/>
      <c r="AU62"/>
      <c r="AV62"/>
      <c r="AY62"/>
      <c r="AZ62"/>
      <c r="BB62"/>
      <c r="BC62"/>
      <c r="BF62"/>
      <c r="BG62"/>
      <c r="BM62"/>
      <c r="BN62"/>
      <c r="BY62"/>
      <c r="BZ62"/>
      <c r="CJ62"/>
      <c r="CK62"/>
      <c r="CN62"/>
      <c r="CO62"/>
      <c r="DC62"/>
      <c r="DD62"/>
      <c r="DK62"/>
      <c r="DL62"/>
      <c r="DP62"/>
      <c r="DQ62"/>
    </row>
    <row r="63" spans="19:121" ht="14.4" x14ac:dyDescent="0.3">
      <c r="S63"/>
      <c r="T63"/>
      <c r="AA63"/>
      <c r="AB63"/>
      <c r="AI63"/>
      <c r="AJ63"/>
      <c r="AQ63"/>
      <c r="AR63"/>
      <c r="AU63"/>
      <c r="AV63"/>
      <c r="AY63"/>
      <c r="AZ63"/>
      <c r="BB63"/>
      <c r="BC63"/>
      <c r="BF63"/>
      <c r="BG63"/>
      <c r="BM63"/>
      <c r="BN63"/>
      <c r="BY63"/>
      <c r="BZ63"/>
      <c r="CJ63"/>
      <c r="CK63"/>
      <c r="CN63"/>
      <c r="CO63"/>
      <c r="DC63"/>
      <c r="DD63"/>
      <c r="DK63"/>
      <c r="DL63"/>
      <c r="DP63"/>
      <c r="DQ63"/>
    </row>
    <row r="64" spans="19:121" ht="14.4" x14ac:dyDescent="0.3">
      <c r="S64"/>
      <c r="T64"/>
      <c r="AA64"/>
      <c r="AB64"/>
      <c r="AI64"/>
      <c r="AJ64"/>
      <c r="AQ64"/>
      <c r="AR64"/>
      <c r="AU64"/>
      <c r="AV64"/>
      <c r="AY64"/>
      <c r="AZ64"/>
      <c r="BB64"/>
      <c r="BC64"/>
      <c r="BF64"/>
      <c r="BG64"/>
      <c r="BM64"/>
      <c r="BN64"/>
      <c r="BY64"/>
      <c r="BZ64"/>
      <c r="CJ64"/>
      <c r="CK64"/>
      <c r="CN64"/>
      <c r="CO64"/>
      <c r="DC64"/>
      <c r="DD64"/>
      <c r="DK64"/>
      <c r="DL64"/>
      <c r="DP64"/>
      <c r="DQ64"/>
    </row>
    <row r="65" spans="19:121" ht="14.4" x14ac:dyDescent="0.3">
      <c r="S65"/>
      <c r="T65"/>
      <c r="AA65"/>
      <c r="AB65"/>
      <c r="AI65"/>
      <c r="AJ65"/>
      <c r="AQ65"/>
      <c r="AR65"/>
      <c r="AU65"/>
      <c r="AV65"/>
      <c r="AY65"/>
      <c r="AZ65"/>
      <c r="BB65"/>
      <c r="BC65"/>
      <c r="BF65"/>
      <c r="BG65"/>
      <c r="BM65"/>
      <c r="BN65"/>
      <c r="BY65"/>
      <c r="BZ65"/>
      <c r="CJ65"/>
      <c r="CK65"/>
      <c r="CN65"/>
      <c r="CO65"/>
      <c r="DC65"/>
      <c r="DD65"/>
      <c r="DK65"/>
      <c r="DL65"/>
      <c r="DP65"/>
      <c r="DQ65"/>
    </row>
    <row r="66" spans="19:121" ht="14.4" x14ac:dyDescent="0.3">
      <c r="S66"/>
      <c r="T66"/>
      <c r="AA66"/>
      <c r="AB66"/>
      <c r="AI66"/>
      <c r="AJ66"/>
      <c r="AQ66"/>
      <c r="AR66"/>
      <c r="AU66"/>
      <c r="AV66"/>
      <c r="AY66"/>
      <c r="AZ66"/>
      <c r="BB66"/>
      <c r="BC66"/>
      <c r="BF66"/>
      <c r="BG66"/>
      <c r="BM66"/>
      <c r="BN66"/>
      <c r="BY66"/>
      <c r="BZ66"/>
      <c r="CJ66"/>
      <c r="CK66"/>
      <c r="CN66"/>
      <c r="CO66"/>
      <c r="DC66"/>
      <c r="DD66"/>
      <c r="DK66"/>
      <c r="DL66"/>
      <c r="DP66"/>
      <c r="DQ66"/>
    </row>
    <row r="67" spans="19:121" ht="14.4" x14ac:dyDescent="0.3">
      <c r="S67"/>
      <c r="T67"/>
      <c r="AA67"/>
      <c r="AB67"/>
      <c r="AI67"/>
      <c r="AJ67"/>
      <c r="AQ67"/>
      <c r="AR67"/>
      <c r="AU67"/>
      <c r="AV67"/>
      <c r="AY67"/>
      <c r="AZ67"/>
      <c r="BB67"/>
      <c r="BC67"/>
      <c r="BF67"/>
      <c r="BG67"/>
      <c r="BM67"/>
      <c r="BN67"/>
      <c r="BY67"/>
      <c r="BZ67"/>
      <c r="CJ67"/>
      <c r="CK67"/>
      <c r="CN67"/>
      <c r="CO67"/>
      <c r="DC67"/>
      <c r="DD67"/>
      <c r="DK67"/>
      <c r="DL67"/>
      <c r="DP67"/>
      <c r="DQ67"/>
    </row>
    <row r="68" spans="19:121" ht="14.4" x14ac:dyDescent="0.3">
      <c r="S68"/>
      <c r="T68"/>
      <c r="AA68"/>
      <c r="AB68"/>
      <c r="AI68"/>
      <c r="AJ68"/>
      <c r="AQ68"/>
      <c r="AR68"/>
      <c r="AU68"/>
      <c r="AV68"/>
      <c r="AY68"/>
      <c r="AZ68"/>
      <c r="BB68"/>
      <c r="BC68"/>
      <c r="BF68"/>
      <c r="BG68"/>
      <c r="BM68"/>
      <c r="BN68"/>
      <c r="BY68"/>
      <c r="BZ68"/>
      <c r="CJ68"/>
      <c r="CK68"/>
      <c r="CN68"/>
      <c r="CO68"/>
      <c r="DC68"/>
      <c r="DD68"/>
      <c r="DK68"/>
      <c r="DL68"/>
      <c r="DP68"/>
      <c r="DQ68"/>
    </row>
    <row r="69" spans="19:121" ht="14.4" x14ac:dyDescent="0.3">
      <c r="S69"/>
      <c r="T69"/>
      <c r="AA69"/>
      <c r="AB69"/>
      <c r="AI69"/>
      <c r="AJ69"/>
      <c r="AQ69"/>
      <c r="AR69"/>
      <c r="AU69"/>
      <c r="AV69"/>
      <c r="AY69"/>
      <c r="AZ69"/>
      <c r="BB69"/>
      <c r="BC69"/>
      <c r="BF69"/>
      <c r="BG69"/>
      <c r="BM69"/>
      <c r="BN69"/>
      <c r="BY69"/>
      <c r="BZ69"/>
      <c r="CJ69"/>
      <c r="CK69"/>
      <c r="CN69"/>
      <c r="CO69"/>
      <c r="DC69"/>
      <c r="DD69"/>
      <c r="DK69"/>
      <c r="DL69"/>
      <c r="DP69"/>
      <c r="DQ69"/>
    </row>
    <row r="70" spans="19:121" ht="14.4" x14ac:dyDescent="0.3">
      <c r="S70"/>
      <c r="T70"/>
      <c r="AA70"/>
      <c r="AB70"/>
      <c r="AI70"/>
      <c r="AJ70"/>
      <c r="AQ70"/>
      <c r="AR70"/>
      <c r="AU70"/>
      <c r="AV70"/>
      <c r="AY70"/>
      <c r="AZ70"/>
      <c r="BB70"/>
      <c r="BC70"/>
      <c r="BF70"/>
      <c r="BG70"/>
      <c r="BM70"/>
      <c r="BN70"/>
      <c r="BY70"/>
      <c r="BZ70"/>
      <c r="CJ70"/>
      <c r="CK70"/>
      <c r="CN70"/>
      <c r="CO70"/>
      <c r="DC70"/>
      <c r="DD70"/>
      <c r="DK70"/>
      <c r="DL70"/>
      <c r="DP70"/>
      <c r="DQ70"/>
    </row>
    <row r="71" spans="19:121" ht="14.4" x14ac:dyDescent="0.3">
      <c r="S71"/>
      <c r="T71"/>
      <c r="AA71"/>
      <c r="AB71"/>
      <c r="AI71"/>
      <c r="AJ71"/>
      <c r="AQ71"/>
      <c r="AR71"/>
      <c r="AU71"/>
      <c r="AV71"/>
      <c r="AY71"/>
      <c r="AZ71"/>
      <c r="BB71"/>
      <c r="BC71"/>
      <c r="BF71"/>
      <c r="BG71"/>
      <c r="BM71"/>
      <c r="BN71"/>
      <c r="BY71"/>
      <c r="BZ71"/>
      <c r="CJ71"/>
      <c r="CK71"/>
      <c r="CN71"/>
      <c r="CO71"/>
      <c r="DC71"/>
      <c r="DD71"/>
      <c r="DK71"/>
      <c r="DL71"/>
      <c r="DP71"/>
      <c r="DQ71"/>
    </row>
    <row r="72" spans="19:121" ht="14.4" x14ac:dyDescent="0.3">
      <c r="S72"/>
      <c r="T72"/>
      <c r="AA72"/>
      <c r="AB72"/>
      <c r="AI72"/>
      <c r="AJ72"/>
      <c r="AQ72"/>
      <c r="AR72"/>
      <c r="AU72"/>
      <c r="AV72"/>
      <c r="AY72"/>
      <c r="AZ72"/>
      <c r="BB72"/>
      <c r="BC72"/>
      <c r="BF72"/>
      <c r="BG72"/>
      <c r="BM72"/>
      <c r="BN72"/>
      <c r="BY72"/>
      <c r="BZ72"/>
      <c r="CJ72"/>
      <c r="CK72"/>
      <c r="CN72"/>
      <c r="CO72"/>
      <c r="DC72"/>
      <c r="DD72"/>
      <c r="DK72"/>
      <c r="DL72"/>
      <c r="DP72"/>
      <c r="DQ72"/>
    </row>
    <row r="73" spans="19:121" ht="14.4" x14ac:dyDescent="0.3">
      <c r="S73"/>
      <c r="T73"/>
      <c r="AA73"/>
      <c r="AB73"/>
      <c r="AI73"/>
      <c r="AJ73"/>
      <c r="AQ73"/>
      <c r="AR73"/>
      <c r="AU73"/>
      <c r="AV73"/>
      <c r="AY73"/>
      <c r="AZ73"/>
      <c r="BB73"/>
      <c r="BC73"/>
      <c r="BF73"/>
      <c r="BG73"/>
      <c r="BM73"/>
      <c r="BN73"/>
      <c r="BY73"/>
      <c r="BZ73"/>
      <c r="CJ73"/>
      <c r="CK73"/>
      <c r="CN73"/>
      <c r="CO73"/>
      <c r="DC73"/>
      <c r="DD73"/>
      <c r="DK73"/>
      <c r="DL73"/>
      <c r="DP73"/>
      <c r="DQ73"/>
    </row>
    <row r="74" spans="19:121" ht="14.4" x14ac:dyDescent="0.3">
      <c r="S74"/>
      <c r="T74"/>
      <c r="AA74"/>
      <c r="AB74"/>
      <c r="AI74"/>
      <c r="AJ74"/>
      <c r="AQ74"/>
      <c r="AR74"/>
      <c r="AU74"/>
      <c r="AV74"/>
      <c r="AY74"/>
      <c r="AZ74"/>
      <c r="BB74"/>
      <c r="BC74"/>
      <c r="BF74"/>
      <c r="BG74"/>
      <c r="BM74"/>
      <c r="BN74"/>
      <c r="BY74"/>
      <c r="BZ74"/>
      <c r="CJ74"/>
      <c r="CK74"/>
      <c r="CN74"/>
      <c r="CO74"/>
      <c r="DC74"/>
      <c r="DD74"/>
      <c r="DK74"/>
      <c r="DL74"/>
      <c r="DP74"/>
      <c r="DQ74"/>
    </row>
    <row r="75" spans="19:121" ht="14.4" x14ac:dyDescent="0.3">
      <c r="S75"/>
      <c r="T75"/>
      <c r="AA75"/>
      <c r="AB75"/>
      <c r="AI75"/>
      <c r="AJ75"/>
      <c r="AQ75"/>
      <c r="AR75"/>
      <c r="AU75"/>
      <c r="AV75"/>
      <c r="AY75"/>
      <c r="AZ75"/>
      <c r="BB75"/>
      <c r="BC75"/>
      <c r="BF75"/>
      <c r="BG75"/>
      <c r="BM75"/>
      <c r="BN75"/>
      <c r="BY75"/>
      <c r="BZ75"/>
      <c r="CJ75"/>
      <c r="CK75"/>
      <c r="CN75"/>
      <c r="CO75"/>
      <c r="DC75"/>
      <c r="DD75"/>
      <c r="DK75"/>
      <c r="DL75"/>
      <c r="DP75"/>
      <c r="DQ75"/>
    </row>
    <row r="76" spans="19:121" ht="14.4" x14ac:dyDescent="0.3">
      <c r="S76"/>
      <c r="T76"/>
      <c r="AA76"/>
      <c r="AB76"/>
      <c r="AI76"/>
      <c r="AJ76"/>
      <c r="AQ76"/>
      <c r="AR76"/>
      <c r="AU76"/>
      <c r="AV76"/>
      <c r="AY76"/>
      <c r="AZ76"/>
      <c r="BB76"/>
      <c r="BC76"/>
      <c r="BF76"/>
      <c r="BG76"/>
      <c r="BM76"/>
      <c r="BN76"/>
      <c r="BY76"/>
      <c r="BZ76"/>
      <c r="CJ76"/>
      <c r="CK76"/>
      <c r="CN76"/>
      <c r="CO76"/>
      <c r="DC76"/>
      <c r="DD76"/>
      <c r="DK76"/>
      <c r="DL76"/>
      <c r="DP76"/>
      <c r="DQ76"/>
    </row>
    <row r="77" spans="19:121" ht="14.4" x14ac:dyDescent="0.3">
      <c r="S77"/>
      <c r="T77"/>
      <c r="AA77"/>
      <c r="AB77"/>
      <c r="AI77"/>
      <c r="AJ77"/>
      <c r="AQ77"/>
      <c r="AR77"/>
      <c r="AU77"/>
      <c r="AV77"/>
      <c r="AY77"/>
      <c r="AZ77"/>
      <c r="BB77"/>
      <c r="BC77"/>
      <c r="BF77"/>
      <c r="BG77"/>
      <c r="BM77"/>
      <c r="BN77"/>
      <c r="BY77"/>
      <c r="BZ77"/>
      <c r="CJ77"/>
      <c r="CK77"/>
      <c r="CN77"/>
      <c r="CO77"/>
      <c r="DC77"/>
      <c r="DD77"/>
      <c r="DK77"/>
      <c r="DL77"/>
      <c r="DP77"/>
      <c r="DQ77"/>
    </row>
    <row r="78" spans="19:121" ht="14.4" x14ac:dyDescent="0.3">
      <c r="S78"/>
      <c r="T78"/>
      <c r="AA78"/>
      <c r="AB78"/>
      <c r="AI78"/>
      <c r="AJ78"/>
      <c r="AQ78"/>
      <c r="AR78"/>
      <c r="AU78"/>
      <c r="AV78"/>
      <c r="AY78"/>
      <c r="AZ78"/>
      <c r="BB78"/>
      <c r="BC78"/>
      <c r="BF78"/>
      <c r="BG78"/>
      <c r="BM78"/>
      <c r="BN78"/>
      <c r="BY78"/>
      <c r="BZ78"/>
      <c r="CJ78"/>
      <c r="CK78"/>
      <c r="CN78"/>
      <c r="CO78"/>
      <c r="DC78"/>
      <c r="DD78"/>
      <c r="DK78"/>
      <c r="DL78"/>
      <c r="DP78"/>
      <c r="DQ78"/>
    </row>
    <row r="79" spans="19:121" ht="14.4" x14ac:dyDescent="0.3">
      <c r="S79"/>
      <c r="T79"/>
      <c r="AA79"/>
      <c r="AB79"/>
      <c r="AI79"/>
      <c r="AJ79"/>
      <c r="AQ79"/>
      <c r="AR79"/>
      <c r="AU79"/>
      <c r="AV79"/>
      <c r="AY79"/>
      <c r="AZ79"/>
      <c r="BB79"/>
      <c r="BC79"/>
      <c r="BF79"/>
      <c r="BG79"/>
      <c r="BM79"/>
      <c r="BN79"/>
      <c r="BY79"/>
      <c r="BZ79"/>
      <c r="CJ79"/>
      <c r="CK79"/>
      <c r="CN79"/>
      <c r="CO79"/>
      <c r="DC79"/>
      <c r="DD79"/>
      <c r="DK79"/>
      <c r="DL79"/>
      <c r="DP79"/>
      <c r="DQ79"/>
    </row>
    <row r="80" spans="19:121" ht="14.4" x14ac:dyDescent="0.3">
      <c r="S80"/>
      <c r="T80"/>
      <c r="AA80"/>
      <c r="AB80"/>
      <c r="AI80"/>
      <c r="AJ80"/>
      <c r="AQ80"/>
      <c r="AR80"/>
      <c r="AU80"/>
      <c r="AV80"/>
      <c r="AY80"/>
      <c r="AZ80"/>
      <c r="BB80"/>
      <c r="BC80"/>
      <c r="BF80"/>
      <c r="BG80"/>
      <c r="BM80"/>
      <c r="BN80"/>
      <c r="BY80"/>
      <c r="BZ80"/>
      <c r="CJ80"/>
      <c r="CK80"/>
      <c r="CN80"/>
      <c r="CO80"/>
      <c r="DC80"/>
      <c r="DD80"/>
      <c r="DK80"/>
      <c r="DL80"/>
      <c r="DP80"/>
      <c r="DQ80"/>
    </row>
    <row r="81" spans="19:121" ht="14.4" x14ac:dyDescent="0.3">
      <c r="S81"/>
      <c r="T81"/>
      <c r="AA81"/>
      <c r="AB81"/>
      <c r="AI81"/>
      <c r="AJ81"/>
      <c r="AQ81"/>
      <c r="AR81"/>
      <c r="AU81"/>
      <c r="AV81"/>
      <c r="AY81"/>
      <c r="AZ81"/>
      <c r="BB81"/>
      <c r="BC81"/>
      <c r="BF81"/>
      <c r="BG81"/>
      <c r="BM81"/>
      <c r="BN81"/>
      <c r="BY81"/>
      <c r="BZ81"/>
      <c r="CJ81"/>
      <c r="CK81"/>
      <c r="CN81"/>
      <c r="CO81"/>
      <c r="DC81"/>
      <c r="DD81"/>
      <c r="DK81"/>
      <c r="DL81"/>
      <c r="DP81"/>
      <c r="DQ81"/>
    </row>
    <row r="82" spans="19:121" ht="14.4" x14ac:dyDescent="0.3">
      <c r="S82"/>
      <c r="T82"/>
      <c r="AA82"/>
      <c r="AB82"/>
      <c r="AI82"/>
      <c r="AJ82"/>
      <c r="AQ82"/>
      <c r="AR82"/>
      <c r="AU82"/>
      <c r="AV82"/>
      <c r="AY82"/>
      <c r="AZ82"/>
      <c r="BB82"/>
      <c r="BC82"/>
      <c r="BF82"/>
      <c r="BG82"/>
      <c r="BM82"/>
      <c r="BN82"/>
      <c r="BY82"/>
      <c r="BZ82"/>
      <c r="CJ82"/>
      <c r="CK82"/>
      <c r="CN82"/>
      <c r="CO82"/>
      <c r="DC82"/>
      <c r="DD82"/>
      <c r="DK82"/>
      <c r="DL82"/>
      <c r="DP82"/>
      <c r="DQ82"/>
    </row>
    <row r="83" spans="19:121" ht="14.4" x14ac:dyDescent="0.3">
      <c r="S83"/>
      <c r="T83"/>
      <c r="AA83"/>
      <c r="AB83"/>
      <c r="AI83"/>
      <c r="AJ83"/>
      <c r="AQ83"/>
      <c r="AR83"/>
      <c r="AU83"/>
      <c r="AV83"/>
      <c r="AY83"/>
      <c r="AZ83"/>
      <c r="BB83"/>
      <c r="BC83"/>
      <c r="BF83"/>
      <c r="BG83"/>
      <c r="BM83"/>
      <c r="BN83"/>
      <c r="BY83"/>
      <c r="BZ83"/>
      <c r="CJ83"/>
      <c r="CK83"/>
      <c r="CN83"/>
      <c r="CO83"/>
      <c r="DC83"/>
      <c r="DD83"/>
      <c r="DK83"/>
      <c r="DL83"/>
      <c r="DP83"/>
      <c r="DQ83"/>
    </row>
    <row r="84" spans="19:121" ht="14.4" x14ac:dyDescent="0.3">
      <c r="S84"/>
      <c r="T84"/>
      <c r="AA84"/>
      <c r="AB84"/>
      <c r="AI84"/>
      <c r="AJ84"/>
      <c r="AQ84"/>
      <c r="AR84"/>
      <c r="AU84"/>
      <c r="AV84"/>
      <c r="AY84"/>
      <c r="AZ84"/>
      <c r="BB84"/>
      <c r="BC84"/>
      <c r="BF84"/>
      <c r="BG84"/>
      <c r="BM84"/>
      <c r="BN84"/>
      <c r="BY84"/>
      <c r="BZ84"/>
      <c r="CJ84"/>
      <c r="CK84"/>
      <c r="CN84"/>
      <c r="CO84"/>
      <c r="DC84"/>
      <c r="DD84"/>
      <c r="DK84"/>
      <c r="DL84"/>
      <c r="DP84"/>
      <c r="DQ84"/>
    </row>
    <row r="85" spans="19:121" ht="14.4" x14ac:dyDescent="0.3">
      <c r="S85"/>
      <c r="T85"/>
      <c r="AA85"/>
      <c r="AB85"/>
      <c r="AI85"/>
      <c r="AJ85"/>
      <c r="AQ85"/>
      <c r="AR85"/>
      <c r="AU85"/>
      <c r="AV85"/>
      <c r="AY85"/>
      <c r="AZ85"/>
      <c r="BB85"/>
      <c r="BC85"/>
      <c r="BF85"/>
      <c r="BG85"/>
      <c r="BM85"/>
      <c r="BN85"/>
      <c r="BY85"/>
      <c r="BZ85"/>
      <c r="CJ85"/>
      <c r="CK85"/>
      <c r="CN85"/>
      <c r="CO85"/>
      <c r="DC85"/>
      <c r="DD85"/>
      <c r="DK85"/>
      <c r="DL85"/>
      <c r="DP85"/>
      <c r="DQ85"/>
    </row>
    <row r="86" spans="19:121" ht="14.4" x14ac:dyDescent="0.3">
      <c r="S86"/>
      <c r="T86"/>
      <c r="AA86"/>
      <c r="AB86"/>
      <c r="AI86"/>
      <c r="AJ86"/>
      <c r="AQ86"/>
      <c r="AR86"/>
      <c r="AU86"/>
      <c r="AV86"/>
      <c r="AY86"/>
      <c r="AZ86"/>
      <c r="BB86"/>
      <c r="BC86"/>
      <c r="BF86"/>
      <c r="BG86"/>
      <c r="BM86"/>
      <c r="BN86"/>
      <c r="BY86"/>
      <c r="BZ86"/>
      <c r="CJ86"/>
      <c r="CK86"/>
      <c r="CN86"/>
      <c r="CO86"/>
      <c r="DC86"/>
      <c r="DD86"/>
      <c r="DK86"/>
      <c r="DL86"/>
      <c r="DP86"/>
      <c r="DQ86"/>
    </row>
    <row r="87" spans="19:121" ht="14.4" x14ac:dyDescent="0.3">
      <c r="S87"/>
      <c r="T87"/>
      <c r="AA87"/>
      <c r="AB87"/>
      <c r="AI87"/>
      <c r="AJ87"/>
      <c r="AQ87"/>
      <c r="AR87"/>
      <c r="AU87"/>
      <c r="AV87"/>
      <c r="AY87"/>
      <c r="AZ87"/>
      <c r="BB87"/>
      <c r="BC87"/>
      <c r="BF87"/>
      <c r="BG87"/>
      <c r="BM87"/>
      <c r="BN87"/>
      <c r="BY87"/>
      <c r="BZ87"/>
      <c r="CJ87"/>
      <c r="CK87"/>
      <c r="CN87"/>
      <c r="CO87"/>
      <c r="DC87"/>
      <c r="DD87"/>
      <c r="DK87"/>
      <c r="DL87"/>
      <c r="DP87"/>
      <c r="DQ87"/>
    </row>
    <row r="88" spans="19:121" ht="14.4" x14ac:dyDescent="0.3">
      <c r="S88"/>
      <c r="T88"/>
      <c r="AA88"/>
      <c r="AB88"/>
      <c r="AI88"/>
      <c r="AJ88"/>
      <c r="AQ88"/>
      <c r="AR88"/>
      <c r="AU88"/>
      <c r="AV88"/>
      <c r="AY88"/>
      <c r="AZ88"/>
      <c r="BB88"/>
      <c r="BC88"/>
      <c r="BF88"/>
      <c r="BG88"/>
      <c r="BM88"/>
      <c r="BN88"/>
      <c r="BY88"/>
      <c r="BZ88"/>
      <c r="CJ88"/>
      <c r="CK88"/>
      <c r="CN88"/>
      <c r="CO88"/>
      <c r="DC88"/>
      <c r="DD88"/>
      <c r="DK88"/>
      <c r="DL88"/>
      <c r="DP88"/>
      <c r="DQ88"/>
    </row>
    <row r="89" spans="19:121" ht="14.4" x14ac:dyDescent="0.3">
      <c r="S89"/>
      <c r="T89"/>
      <c r="AA89"/>
      <c r="AB89"/>
      <c r="AI89"/>
      <c r="AJ89"/>
      <c r="AQ89"/>
      <c r="AR89"/>
      <c r="AU89"/>
      <c r="AV89"/>
      <c r="AY89"/>
      <c r="AZ89"/>
      <c r="BB89"/>
      <c r="BC89"/>
      <c r="BF89"/>
      <c r="BG89"/>
      <c r="BM89"/>
      <c r="BN89"/>
      <c r="BY89"/>
      <c r="BZ89"/>
      <c r="CJ89"/>
      <c r="CK89"/>
      <c r="CN89"/>
      <c r="CO89"/>
      <c r="DC89"/>
      <c r="DD89"/>
      <c r="DK89"/>
      <c r="DL89"/>
      <c r="DP89"/>
      <c r="DQ89"/>
    </row>
    <row r="90" spans="19:121" ht="14.4" x14ac:dyDescent="0.3">
      <c r="S90"/>
      <c r="T90"/>
      <c r="AA90"/>
      <c r="AB90"/>
      <c r="AI90"/>
      <c r="AJ90"/>
      <c r="AQ90"/>
      <c r="AR90"/>
      <c r="AU90"/>
      <c r="AV90"/>
      <c r="AY90"/>
      <c r="AZ90"/>
      <c r="BB90"/>
      <c r="BC90"/>
      <c r="BF90"/>
      <c r="BG90"/>
      <c r="BM90"/>
      <c r="BN90"/>
      <c r="BY90"/>
      <c r="BZ90"/>
      <c r="CJ90"/>
      <c r="CK90"/>
      <c r="CN90"/>
      <c r="CO90"/>
      <c r="DC90"/>
      <c r="DD90"/>
      <c r="DK90"/>
      <c r="DL90"/>
      <c r="DP90"/>
      <c r="DQ90"/>
    </row>
    <row r="91" spans="19:121" ht="14.4" x14ac:dyDescent="0.3">
      <c r="S91"/>
      <c r="T91"/>
      <c r="AA91"/>
      <c r="AB91"/>
      <c r="AI91"/>
      <c r="AJ91"/>
      <c r="AQ91"/>
      <c r="AR91"/>
      <c r="AU91"/>
      <c r="AV91"/>
      <c r="AY91"/>
      <c r="AZ91"/>
      <c r="BB91"/>
      <c r="BC91"/>
      <c r="BF91"/>
      <c r="BG91"/>
      <c r="BM91"/>
      <c r="BN91"/>
      <c r="BY91"/>
      <c r="BZ91"/>
      <c r="CJ91"/>
      <c r="CK91"/>
      <c r="CN91"/>
      <c r="CO91"/>
      <c r="DC91"/>
      <c r="DD91"/>
      <c r="DK91"/>
      <c r="DL91"/>
      <c r="DP91"/>
      <c r="DQ91"/>
    </row>
    <row r="92" spans="19:121" ht="14.4" x14ac:dyDescent="0.3">
      <c r="S92"/>
      <c r="T92"/>
      <c r="AA92"/>
      <c r="AB92"/>
      <c r="AI92"/>
      <c r="AJ92"/>
      <c r="AQ92"/>
      <c r="AR92"/>
      <c r="AU92"/>
      <c r="AV92"/>
      <c r="AY92"/>
      <c r="AZ92"/>
      <c r="BB92"/>
      <c r="BC92"/>
      <c r="BF92"/>
      <c r="BG92"/>
      <c r="BM92"/>
      <c r="BN92"/>
      <c r="BY92"/>
      <c r="BZ92"/>
      <c r="CJ92"/>
      <c r="CK92"/>
      <c r="CN92"/>
      <c r="CO92"/>
      <c r="DC92"/>
      <c r="DD92"/>
      <c r="DK92"/>
      <c r="DL92"/>
      <c r="DP92"/>
      <c r="DQ92"/>
    </row>
    <row r="93" spans="19:121" ht="14.4" x14ac:dyDescent="0.3">
      <c r="S93"/>
      <c r="T93"/>
      <c r="AA93"/>
      <c r="AB93"/>
      <c r="AI93"/>
      <c r="AJ93"/>
      <c r="AQ93"/>
      <c r="AR93"/>
      <c r="AU93"/>
      <c r="AV93"/>
      <c r="AY93"/>
      <c r="AZ93"/>
      <c r="BB93"/>
      <c r="BC93"/>
      <c r="BF93"/>
      <c r="BG93"/>
      <c r="BM93"/>
      <c r="BN93"/>
      <c r="BY93"/>
      <c r="BZ93"/>
      <c r="CJ93"/>
      <c r="CK93"/>
      <c r="CN93"/>
      <c r="CO93"/>
      <c r="DC93"/>
      <c r="DD93"/>
      <c r="DK93"/>
      <c r="DL93"/>
      <c r="DP93"/>
      <c r="DQ93"/>
    </row>
    <row r="94" spans="19:121" ht="14.4" x14ac:dyDescent="0.3">
      <c r="S94"/>
      <c r="T94"/>
      <c r="AA94"/>
      <c r="AB94"/>
      <c r="AI94"/>
      <c r="AJ94"/>
      <c r="AQ94"/>
      <c r="AR94"/>
      <c r="AU94"/>
      <c r="AV94"/>
      <c r="AY94"/>
      <c r="AZ94"/>
      <c r="BB94"/>
      <c r="BC94"/>
      <c r="BF94"/>
      <c r="BG94"/>
      <c r="BM94"/>
      <c r="BN94"/>
      <c r="BY94"/>
      <c r="BZ94"/>
      <c r="CJ94"/>
      <c r="CK94"/>
      <c r="CN94"/>
      <c r="CO94"/>
      <c r="DC94"/>
      <c r="DD94"/>
      <c r="DK94"/>
      <c r="DL94"/>
      <c r="DP94"/>
      <c r="DQ94"/>
    </row>
    <row r="95" spans="19:121" ht="14.4" x14ac:dyDescent="0.3">
      <c r="S95"/>
      <c r="T95"/>
      <c r="AA95"/>
      <c r="AB95"/>
      <c r="AI95"/>
      <c r="AJ95"/>
      <c r="AQ95"/>
      <c r="AR95"/>
      <c r="AU95"/>
      <c r="AV95"/>
      <c r="AY95"/>
      <c r="AZ95"/>
      <c r="BB95"/>
      <c r="BC95"/>
      <c r="BF95"/>
      <c r="BG95"/>
      <c r="BM95"/>
      <c r="BN95"/>
      <c r="BY95"/>
      <c r="BZ95"/>
      <c r="CJ95"/>
      <c r="CK95"/>
      <c r="CN95"/>
      <c r="CO95"/>
      <c r="DC95"/>
      <c r="DD95"/>
      <c r="DK95"/>
      <c r="DL95"/>
      <c r="DP95"/>
      <c r="DQ95"/>
    </row>
    <row r="96" spans="19:121" ht="14.4" x14ac:dyDescent="0.3">
      <c r="S96"/>
      <c r="T96"/>
      <c r="AA96"/>
      <c r="AB96"/>
      <c r="AI96"/>
      <c r="AJ96"/>
      <c r="AQ96"/>
      <c r="AR96"/>
      <c r="AU96"/>
      <c r="AV96"/>
      <c r="AY96"/>
      <c r="AZ96"/>
      <c r="BB96"/>
      <c r="BC96"/>
      <c r="BF96"/>
      <c r="BG96"/>
      <c r="BM96"/>
      <c r="BN96"/>
      <c r="BY96"/>
      <c r="BZ96"/>
      <c r="CJ96"/>
      <c r="CK96"/>
      <c r="CN96"/>
      <c r="CO96"/>
      <c r="DC96"/>
      <c r="DD96"/>
      <c r="DK96"/>
      <c r="DL96"/>
      <c r="DP96"/>
      <c r="DQ96"/>
    </row>
    <row r="97" spans="19:121" ht="14.4" x14ac:dyDescent="0.3">
      <c r="S97"/>
      <c r="T97"/>
      <c r="AA97"/>
      <c r="AB97"/>
      <c r="AI97"/>
      <c r="AJ97"/>
      <c r="AQ97"/>
      <c r="AR97"/>
      <c r="AU97"/>
      <c r="AV97"/>
      <c r="AY97"/>
      <c r="AZ97"/>
      <c r="BB97"/>
      <c r="BC97"/>
      <c r="BF97"/>
      <c r="BG97"/>
      <c r="BM97"/>
      <c r="BN97"/>
      <c r="BY97"/>
      <c r="BZ97"/>
      <c r="CJ97"/>
      <c r="CK97"/>
      <c r="CN97"/>
      <c r="CO97"/>
      <c r="DC97"/>
      <c r="DD97"/>
      <c r="DK97"/>
      <c r="DL97"/>
      <c r="DP97"/>
      <c r="DQ97"/>
    </row>
    <row r="98" spans="19:121" ht="14.4" x14ac:dyDescent="0.3">
      <c r="S98"/>
      <c r="T98"/>
      <c r="AA98"/>
      <c r="AB98"/>
      <c r="AI98"/>
      <c r="AJ98"/>
      <c r="AQ98"/>
      <c r="AR98"/>
      <c r="AU98"/>
      <c r="AV98"/>
      <c r="AY98"/>
      <c r="AZ98"/>
      <c r="BB98"/>
      <c r="BC98"/>
      <c r="BF98"/>
      <c r="BG98"/>
      <c r="BM98"/>
      <c r="BN98"/>
      <c r="BY98"/>
      <c r="BZ98"/>
      <c r="CJ98"/>
      <c r="CK98"/>
      <c r="CN98"/>
      <c r="CO98"/>
      <c r="DC98"/>
      <c r="DD98"/>
      <c r="DK98"/>
      <c r="DL98"/>
      <c r="DP98"/>
      <c r="DQ98"/>
    </row>
    <row r="99" spans="19:121" ht="14.4" x14ac:dyDescent="0.3">
      <c r="S99"/>
      <c r="T99"/>
      <c r="AA99"/>
      <c r="AB99"/>
      <c r="AI99"/>
      <c r="AJ99"/>
      <c r="AQ99"/>
      <c r="AR99"/>
      <c r="AU99"/>
      <c r="AV99"/>
      <c r="AY99"/>
      <c r="AZ99"/>
      <c r="BB99"/>
      <c r="BC99"/>
      <c r="BF99"/>
      <c r="BG99"/>
      <c r="BM99"/>
      <c r="BN99"/>
      <c r="BY99"/>
      <c r="BZ99"/>
      <c r="CJ99"/>
      <c r="CK99"/>
      <c r="CN99"/>
      <c r="CO99"/>
      <c r="DC99"/>
      <c r="DD99"/>
      <c r="DK99"/>
      <c r="DL99"/>
      <c r="DP99"/>
      <c r="DQ99"/>
    </row>
    <row r="100" spans="19:121" ht="14.4" x14ac:dyDescent="0.3">
      <c r="S100"/>
      <c r="T100"/>
      <c r="AA100"/>
      <c r="AB100"/>
      <c r="AI100"/>
      <c r="AJ100"/>
      <c r="AQ100"/>
      <c r="AR100"/>
      <c r="AU100"/>
      <c r="AV100"/>
      <c r="AY100"/>
      <c r="AZ100"/>
      <c r="BB100"/>
      <c r="BC100"/>
      <c r="BF100"/>
      <c r="BG100"/>
      <c r="BM100"/>
      <c r="BN100"/>
      <c r="BY100"/>
      <c r="BZ100"/>
      <c r="CJ100"/>
      <c r="CK100"/>
      <c r="CN100"/>
      <c r="CO100"/>
      <c r="DC100"/>
      <c r="DD100"/>
      <c r="DK100"/>
      <c r="DL100"/>
      <c r="DP100"/>
      <c r="DQ100"/>
    </row>
    <row r="101" spans="19:121" ht="14.4" x14ac:dyDescent="0.3">
      <c r="S101"/>
      <c r="T101"/>
      <c r="AA101"/>
      <c r="AB101"/>
      <c r="AI101"/>
      <c r="AJ101"/>
      <c r="AQ101"/>
      <c r="AR101"/>
      <c r="AU101"/>
      <c r="AV101"/>
      <c r="AY101"/>
      <c r="AZ101"/>
      <c r="BB101"/>
      <c r="BC101"/>
      <c r="BF101"/>
      <c r="BG101"/>
      <c r="BM101"/>
      <c r="BN101"/>
      <c r="BY101"/>
      <c r="BZ101"/>
      <c r="CJ101"/>
      <c r="CK101"/>
      <c r="CN101"/>
      <c r="CO101"/>
      <c r="DC101"/>
      <c r="DD101"/>
      <c r="DK101"/>
      <c r="DL101"/>
      <c r="DP101"/>
      <c r="DQ101"/>
    </row>
    <row r="102" spans="19:121" ht="14.4" x14ac:dyDescent="0.3">
      <c r="S102"/>
      <c r="T102"/>
      <c r="AA102"/>
      <c r="AB102"/>
      <c r="AI102"/>
      <c r="AJ102"/>
      <c r="AQ102"/>
      <c r="AR102"/>
      <c r="AU102"/>
      <c r="AV102"/>
      <c r="AY102"/>
      <c r="AZ102"/>
      <c r="BB102"/>
      <c r="BC102"/>
      <c r="BF102"/>
      <c r="BG102"/>
      <c r="BM102"/>
      <c r="BN102"/>
      <c r="BY102"/>
      <c r="BZ102"/>
      <c r="CJ102"/>
      <c r="CK102"/>
      <c r="CN102"/>
      <c r="CO102"/>
      <c r="DC102"/>
      <c r="DD102"/>
      <c r="DK102"/>
      <c r="DL102"/>
      <c r="DP102"/>
      <c r="DQ102"/>
    </row>
    <row r="103" spans="19:121" ht="14.4" x14ac:dyDescent="0.3">
      <c r="S103"/>
      <c r="T103"/>
      <c r="AA103"/>
      <c r="AB103"/>
      <c r="AI103"/>
      <c r="AJ103"/>
      <c r="AQ103"/>
      <c r="AR103"/>
      <c r="AU103"/>
      <c r="AV103"/>
      <c r="AY103"/>
      <c r="AZ103"/>
      <c r="BB103"/>
      <c r="BC103"/>
      <c r="BF103"/>
      <c r="BG103"/>
      <c r="BM103"/>
      <c r="BN103"/>
      <c r="BY103"/>
      <c r="BZ103"/>
      <c r="CJ103"/>
      <c r="CK103"/>
      <c r="CN103"/>
      <c r="CO103"/>
      <c r="DC103"/>
      <c r="DD103"/>
      <c r="DK103"/>
      <c r="DL103"/>
      <c r="DP103"/>
      <c r="DQ103"/>
    </row>
    <row r="104" spans="19:121" ht="14.4" x14ac:dyDescent="0.3">
      <c r="S104"/>
      <c r="T104"/>
      <c r="AA104"/>
      <c r="AB104"/>
      <c r="AI104"/>
      <c r="AJ104"/>
      <c r="AQ104"/>
      <c r="AR104"/>
      <c r="AU104"/>
      <c r="AV104"/>
      <c r="AY104"/>
      <c r="AZ104"/>
      <c r="BB104"/>
      <c r="BC104"/>
      <c r="BF104"/>
      <c r="BG104"/>
      <c r="BM104"/>
      <c r="BN104"/>
      <c r="BY104"/>
      <c r="BZ104"/>
      <c r="CJ104"/>
      <c r="CK104"/>
      <c r="CN104"/>
      <c r="CO104"/>
      <c r="DC104"/>
      <c r="DD104"/>
      <c r="DK104"/>
      <c r="DL104"/>
      <c r="DP104"/>
      <c r="DQ104"/>
    </row>
    <row r="105" spans="19:121" ht="14.4" x14ac:dyDescent="0.3">
      <c r="S105"/>
      <c r="T105"/>
      <c r="AA105"/>
      <c r="AB105"/>
      <c r="AI105"/>
      <c r="AJ105"/>
      <c r="AQ105"/>
      <c r="AR105"/>
      <c r="AU105"/>
      <c r="AV105"/>
      <c r="AY105"/>
      <c r="AZ105"/>
      <c r="BB105"/>
      <c r="BC105"/>
      <c r="BF105"/>
      <c r="BG105"/>
      <c r="BM105"/>
      <c r="BN105"/>
      <c r="BY105"/>
      <c r="BZ105"/>
      <c r="CJ105"/>
      <c r="CK105"/>
      <c r="CN105"/>
      <c r="CO105"/>
      <c r="DC105"/>
      <c r="DD105"/>
      <c r="DK105"/>
      <c r="DL105"/>
      <c r="DP105"/>
      <c r="DQ105"/>
    </row>
    <row r="106" spans="19:121" ht="14.4" x14ac:dyDescent="0.3">
      <c r="S106"/>
      <c r="T106"/>
      <c r="AA106"/>
      <c r="AB106"/>
      <c r="AI106"/>
      <c r="AJ106"/>
      <c r="AQ106"/>
      <c r="AR106"/>
      <c r="AU106"/>
      <c r="AV106"/>
      <c r="AY106"/>
      <c r="AZ106"/>
      <c r="BB106"/>
      <c r="BC106"/>
      <c r="BF106"/>
      <c r="BG106"/>
      <c r="BM106"/>
      <c r="BN106"/>
      <c r="BY106"/>
      <c r="BZ106"/>
      <c r="CJ106"/>
      <c r="CK106"/>
      <c r="CN106"/>
      <c r="CO106"/>
      <c r="DC106"/>
      <c r="DD106"/>
      <c r="DK106"/>
      <c r="DL106"/>
      <c r="DP106"/>
      <c r="DQ106"/>
    </row>
    <row r="107" spans="19:121" ht="14.4" x14ac:dyDescent="0.3">
      <c r="S107"/>
      <c r="T107"/>
      <c r="AA107"/>
      <c r="AB107"/>
      <c r="AI107"/>
      <c r="AJ107"/>
      <c r="AQ107"/>
      <c r="AR107"/>
      <c r="AU107"/>
      <c r="AV107"/>
      <c r="AY107"/>
      <c r="AZ107"/>
      <c r="BB107"/>
      <c r="BC107"/>
      <c r="BF107"/>
      <c r="BG107"/>
      <c r="BM107"/>
      <c r="BN107"/>
      <c r="BY107"/>
      <c r="BZ107"/>
      <c r="CJ107"/>
      <c r="CK107"/>
      <c r="CN107"/>
      <c r="CO107"/>
      <c r="DC107"/>
      <c r="DD107"/>
      <c r="DK107"/>
      <c r="DL107"/>
      <c r="DP107"/>
      <c r="DQ107"/>
    </row>
    <row r="108" spans="19:121" ht="14.4" x14ac:dyDescent="0.3">
      <c r="S108"/>
      <c r="T108"/>
      <c r="AA108"/>
      <c r="AB108"/>
      <c r="AI108"/>
      <c r="AJ108"/>
      <c r="AQ108"/>
      <c r="AR108"/>
      <c r="AU108"/>
      <c r="AV108"/>
      <c r="AY108"/>
      <c r="AZ108"/>
      <c r="BB108"/>
      <c r="BC108"/>
      <c r="BF108"/>
      <c r="BG108"/>
      <c r="BM108"/>
      <c r="BN108"/>
      <c r="BY108"/>
      <c r="BZ108"/>
      <c r="CJ108"/>
      <c r="CK108"/>
      <c r="CN108"/>
      <c r="CO108"/>
      <c r="DC108"/>
      <c r="DD108"/>
      <c r="DK108"/>
      <c r="DL108"/>
      <c r="DP108"/>
      <c r="DQ108"/>
    </row>
    <row r="109" spans="19:121" ht="14.4" x14ac:dyDescent="0.3">
      <c r="S109"/>
      <c r="T109"/>
      <c r="AA109"/>
      <c r="AB109"/>
      <c r="AI109"/>
      <c r="AJ109"/>
      <c r="AQ109"/>
      <c r="AR109"/>
      <c r="AU109"/>
      <c r="AV109"/>
      <c r="AY109"/>
      <c r="AZ109"/>
      <c r="BB109"/>
      <c r="BC109"/>
      <c r="BF109"/>
      <c r="BG109"/>
      <c r="BM109"/>
      <c r="BN109"/>
      <c r="BY109"/>
      <c r="BZ109"/>
      <c r="CJ109"/>
      <c r="CK109"/>
      <c r="CN109"/>
      <c r="CO109"/>
      <c r="DC109"/>
      <c r="DD109"/>
      <c r="DK109"/>
      <c r="DL109"/>
      <c r="DP109"/>
      <c r="DQ109"/>
    </row>
    <row r="110" spans="19:121" ht="14.4" x14ac:dyDescent="0.3">
      <c r="S110"/>
      <c r="T110"/>
      <c r="AA110"/>
      <c r="AB110"/>
      <c r="AI110"/>
      <c r="AJ110"/>
      <c r="AQ110"/>
      <c r="AR110"/>
      <c r="AU110"/>
      <c r="AV110"/>
      <c r="AY110"/>
      <c r="AZ110"/>
      <c r="BB110"/>
      <c r="BC110"/>
      <c r="BF110"/>
      <c r="BG110"/>
      <c r="BM110"/>
      <c r="BN110"/>
      <c r="BY110"/>
      <c r="BZ110"/>
      <c r="CJ110"/>
      <c r="CK110"/>
      <c r="CN110"/>
      <c r="CO110"/>
      <c r="DC110"/>
      <c r="DD110"/>
      <c r="DK110"/>
      <c r="DL110"/>
      <c r="DP110"/>
      <c r="DQ110"/>
    </row>
    <row r="111" spans="19:121" ht="14.4" x14ac:dyDescent="0.3">
      <c r="S111"/>
      <c r="T111"/>
      <c r="AA111"/>
      <c r="AB111"/>
      <c r="AI111"/>
      <c r="AJ111"/>
      <c r="AQ111"/>
      <c r="AR111"/>
      <c r="AU111"/>
      <c r="AV111"/>
      <c r="AY111"/>
      <c r="AZ111"/>
      <c r="BB111"/>
      <c r="BC111"/>
      <c r="BF111"/>
      <c r="BG111"/>
      <c r="BM111"/>
      <c r="BN111"/>
      <c r="BY111"/>
      <c r="BZ111"/>
      <c r="CJ111"/>
      <c r="CK111"/>
      <c r="CN111"/>
      <c r="CO111"/>
      <c r="DC111"/>
      <c r="DD111"/>
      <c r="DK111"/>
      <c r="DL111"/>
      <c r="DP111"/>
      <c r="DQ111"/>
    </row>
    <row r="112" spans="19:121" ht="14.4" x14ac:dyDescent="0.3">
      <c r="S112"/>
      <c r="T112"/>
      <c r="AA112"/>
      <c r="AB112"/>
      <c r="AI112"/>
      <c r="AJ112"/>
      <c r="AQ112"/>
      <c r="AR112"/>
      <c r="AU112"/>
      <c r="AV112"/>
      <c r="AY112"/>
      <c r="AZ112"/>
      <c r="BB112"/>
      <c r="BC112"/>
      <c r="BF112"/>
      <c r="BG112"/>
      <c r="BM112"/>
      <c r="BN112"/>
      <c r="BY112"/>
      <c r="BZ112"/>
      <c r="CJ112"/>
      <c r="CK112"/>
      <c r="CN112"/>
      <c r="CO112"/>
      <c r="DC112"/>
      <c r="DD112"/>
      <c r="DK112"/>
      <c r="DL112"/>
      <c r="DP112"/>
      <c r="DQ112"/>
    </row>
    <row r="113" spans="19:121" ht="14.4" x14ac:dyDescent="0.3">
      <c r="S113"/>
      <c r="T113"/>
      <c r="AA113"/>
      <c r="AB113"/>
      <c r="AI113"/>
      <c r="AJ113"/>
      <c r="AQ113"/>
      <c r="AR113"/>
      <c r="AU113"/>
      <c r="AV113"/>
      <c r="AY113"/>
      <c r="AZ113"/>
      <c r="BB113"/>
      <c r="BC113"/>
      <c r="BF113"/>
      <c r="BG113"/>
      <c r="BM113"/>
      <c r="BN113"/>
      <c r="BY113"/>
      <c r="BZ113"/>
      <c r="CJ113"/>
      <c r="CK113"/>
      <c r="CN113"/>
      <c r="CO113"/>
      <c r="DC113"/>
      <c r="DD113"/>
      <c r="DK113"/>
      <c r="DL113"/>
      <c r="DP113"/>
      <c r="DQ113"/>
    </row>
    <row r="114" spans="19:121" ht="14.4" x14ac:dyDescent="0.3">
      <c r="S114"/>
      <c r="T114"/>
      <c r="AA114"/>
      <c r="AB114"/>
      <c r="AI114"/>
      <c r="AJ114"/>
      <c r="AQ114"/>
      <c r="AR114"/>
      <c r="AU114"/>
      <c r="AV114"/>
      <c r="AY114"/>
      <c r="AZ114"/>
      <c r="BB114"/>
      <c r="BC114"/>
      <c r="BF114"/>
      <c r="BG114"/>
      <c r="BM114"/>
      <c r="BN114"/>
      <c r="BY114"/>
      <c r="BZ114"/>
      <c r="CJ114"/>
      <c r="CK114"/>
      <c r="CN114"/>
      <c r="CO114"/>
      <c r="DC114"/>
      <c r="DD114"/>
      <c r="DK114"/>
      <c r="DL114"/>
      <c r="DP114"/>
      <c r="DQ114"/>
    </row>
    <row r="115" spans="19:121" ht="14.4" x14ac:dyDescent="0.3">
      <c r="S115"/>
      <c r="T115"/>
      <c r="AA115"/>
      <c r="AB115"/>
      <c r="AI115"/>
      <c r="AJ115"/>
      <c r="AQ115"/>
      <c r="AR115"/>
      <c r="AU115"/>
      <c r="AV115"/>
      <c r="AY115"/>
      <c r="AZ115"/>
      <c r="BB115"/>
      <c r="BC115"/>
      <c r="BF115"/>
      <c r="BG115"/>
      <c r="BM115"/>
      <c r="BN115"/>
      <c r="BY115"/>
      <c r="BZ115"/>
      <c r="CJ115"/>
      <c r="CK115"/>
      <c r="CN115"/>
      <c r="CO115"/>
      <c r="DC115"/>
      <c r="DD115"/>
      <c r="DK115"/>
      <c r="DL115"/>
      <c r="DP115"/>
      <c r="DQ115"/>
    </row>
    <row r="116" spans="19:121" ht="14.4" x14ac:dyDescent="0.3">
      <c r="S116"/>
      <c r="T116"/>
      <c r="AA116"/>
      <c r="AB116"/>
      <c r="AI116"/>
      <c r="AJ116"/>
      <c r="AQ116"/>
      <c r="AR116"/>
      <c r="AU116"/>
      <c r="AV116"/>
      <c r="AY116"/>
      <c r="AZ116"/>
      <c r="BB116"/>
      <c r="BC116"/>
      <c r="BF116"/>
      <c r="BG116"/>
      <c r="BM116"/>
      <c r="BN116"/>
      <c r="BY116"/>
      <c r="BZ116"/>
      <c r="CJ116"/>
      <c r="CK116"/>
      <c r="CN116"/>
      <c r="CO116"/>
      <c r="DC116"/>
      <c r="DD116"/>
      <c r="DK116"/>
      <c r="DL116"/>
      <c r="DP116"/>
      <c r="DQ116"/>
    </row>
    <row r="117" spans="19:121" ht="14.4" x14ac:dyDescent="0.3">
      <c r="S117"/>
      <c r="T117"/>
      <c r="AA117"/>
      <c r="AB117"/>
      <c r="AI117"/>
      <c r="AJ117"/>
      <c r="AQ117"/>
      <c r="AR117"/>
      <c r="AU117"/>
      <c r="AV117"/>
      <c r="AY117"/>
      <c r="AZ117"/>
      <c r="BB117"/>
      <c r="BC117"/>
      <c r="BF117"/>
      <c r="BG117"/>
      <c r="BM117"/>
      <c r="BN117"/>
      <c r="BY117"/>
      <c r="BZ117"/>
      <c r="CJ117"/>
      <c r="CK117"/>
      <c r="CN117"/>
      <c r="CO117"/>
      <c r="DC117"/>
      <c r="DD117"/>
      <c r="DK117"/>
      <c r="DL117"/>
      <c r="DP117"/>
      <c r="DQ117"/>
    </row>
    <row r="118" spans="19:121" ht="14.4" x14ac:dyDescent="0.3">
      <c r="S118"/>
      <c r="T118"/>
      <c r="AA118"/>
      <c r="AB118"/>
      <c r="AI118"/>
      <c r="AJ118"/>
      <c r="AQ118"/>
      <c r="AR118"/>
      <c r="AU118"/>
      <c r="AV118"/>
      <c r="AY118"/>
      <c r="AZ118"/>
      <c r="BB118"/>
      <c r="BC118"/>
      <c r="BF118"/>
      <c r="BG118"/>
      <c r="BM118"/>
      <c r="BN118"/>
      <c r="BY118"/>
      <c r="BZ118"/>
      <c r="CJ118"/>
      <c r="CK118"/>
      <c r="CN118"/>
      <c r="CO118"/>
      <c r="DC118"/>
      <c r="DD118"/>
      <c r="DK118"/>
      <c r="DL118"/>
      <c r="DP118"/>
      <c r="DQ118"/>
    </row>
    <row r="119" spans="19:121" ht="14.4" x14ac:dyDescent="0.3">
      <c r="S119"/>
      <c r="T119"/>
      <c r="AA119"/>
      <c r="AB119"/>
      <c r="AI119"/>
      <c r="AJ119"/>
      <c r="AQ119"/>
      <c r="AR119"/>
      <c r="AU119"/>
      <c r="AV119"/>
      <c r="AY119"/>
      <c r="AZ119"/>
      <c r="BB119"/>
      <c r="BC119"/>
      <c r="BF119"/>
      <c r="BG119"/>
      <c r="BM119"/>
      <c r="BN119"/>
      <c r="BY119"/>
      <c r="BZ119"/>
      <c r="CJ119"/>
      <c r="CK119"/>
      <c r="CN119"/>
      <c r="CO119"/>
      <c r="DC119"/>
      <c r="DD119"/>
      <c r="DK119"/>
      <c r="DL119"/>
      <c r="DP119"/>
      <c r="DQ119"/>
    </row>
    <row r="120" spans="19:121" ht="14.4" x14ac:dyDescent="0.3">
      <c r="S120"/>
      <c r="T120"/>
      <c r="AA120"/>
      <c r="AB120"/>
      <c r="AI120"/>
      <c r="AJ120"/>
      <c r="AQ120"/>
      <c r="AR120"/>
      <c r="AU120"/>
      <c r="AV120"/>
      <c r="AY120"/>
      <c r="AZ120"/>
      <c r="BB120"/>
      <c r="BC120"/>
      <c r="BF120"/>
      <c r="BG120"/>
      <c r="BM120"/>
      <c r="BN120"/>
      <c r="BY120"/>
      <c r="BZ120"/>
      <c r="CJ120"/>
      <c r="CK120"/>
      <c r="CN120"/>
      <c r="CO120"/>
      <c r="DC120"/>
      <c r="DD120"/>
      <c r="DK120"/>
      <c r="DL120"/>
      <c r="DP120"/>
      <c r="DQ120"/>
    </row>
    <row r="121" spans="19:121" ht="14.4" x14ac:dyDescent="0.3">
      <c r="S121"/>
      <c r="T121"/>
      <c r="AA121"/>
      <c r="AB121"/>
      <c r="AI121"/>
      <c r="AJ121"/>
      <c r="AQ121"/>
      <c r="AR121"/>
      <c r="AU121"/>
      <c r="AV121"/>
      <c r="AY121"/>
      <c r="AZ121"/>
      <c r="BB121"/>
      <c r="BC121"/>
      <c r="BF121"/>
      <c r="BG121"/>
      <c r="BM121"/>
      <c r="BN121"/>
      <c r="BY121"/>
      <c r="BZ121"/>
      <c r="CJ121"/>
      <c r="CK121"/>
      <c r="CN121"/>
      <c r="CO121"/>
      <c r="DC121"/>
      <c r="DD121"/>
      <c r="DK121"/>
      <c r="DL121"/>
      <c r="DP121"/>
      <c r="DQ121"/>
    </row>
    <row r="122" spans="19:121" ht="14.4" x14ac:dyDescent="0.3">
      <c r="S122"/>
      <c r="T122"/>
      <c r="AA122"/>
      <c r="AB122"/>
      <c r="AI122"/>
      <c r="AJ122"/>
      <c r="AQ122"/>
      <c r="AR122"/>
      <c r="AU122"/>
      <c r="AV122"/>
      <c r="AY122"/>
      <c r="AZ122"/>
      <c r="BB122"/>
      <c r="BC122"/>
      <c r="BF122"/>
      <c r="BG122"/>
      <c r="BM122"/>
      <c r="BN122"/>
      <c r="BY122"/>
      <c r="BZ122"/>
      <c r="CJ122"/>
      <c r="CK122"/>
      <c r="CN122"/>
      <c r="CO122"/>
      <c r="DC122"/>
      <c r="DD122"/>
      <c r="DK122"/>
      <c r="DL122"/>
      <c r="DP122"/>
      <c r="DQ122"/>
    </row>
    <row r="123" spans="19:121" ht="14.4" x14ac:dyDescent="0.3">
      <c r="S123"/>
      <c r="T123"/>
      <c r="AA123"/>
      <c r="AB123"/>
      <c r="AI123"/>
      <c r="AJ123"/>
      <c r="AQ123"/>
      <c r="AR123"/>
      <c r="AU123"/>
      <c r="AV123"/>
      <c r="AY123"/>
      <c r="AZ123"/>
      <c r="BB123"/>
      <c r="BC123"/>
      <c r="BF123"/>
      <c r="BG123"/>
      <c r="BM123"/>
      <c r="BN123"/>
      <c r="BY123"/>
      <c r="BZ123"/>
      <c r="CJ123"/>
      <c r="CK123"/>
      <c r="CN123"/>
      <c r="CO123"/>
      <c r="DC123"/>
      <c r="DD123"/>
      <c r="DK123"/>
      <c r="DL123"/>
      <c r="DP123"/>
      <c r="DQ123"/>
    </row>
    <row r="124" spans="19:121" ht="14.4" x14ac:dyDescent="0.3">
      <c r="S124"/>
      <c r="T124"/>
      <c r="AA124"/>
      <c r="AB124"/>
      <c r="AI124"/>
      <c r="AJ124"/>
      <c r="AQ124"/>
      <c r="AR124"/>
      <c r="AU124"/>
      <c r="AV124"/>
      <c r="AY124"/>
      <c r="AZ124"/>
      <c r="BB124"/>
      <c r="BC124"/>
      <c r="BF124"/>
      <c r="BG124"/>
      <c r="BM124"/>
      <c r="BN124"/>
      <c r="BY124"/>
      <c r="BZ124"/>
      <c r="CJ124"/>
      <c r="CK124"/>
      <c r="CN124"/>
      <c r="CO124"/>
      <c r="DC124"/>
      <c r="DD124"/>
      <c r="DK124"/>
      <c r="DL124"/>
      <c r="DP124"/>
      <c r="DQ124"/>
    </row>
    <row r="125" spans="19:121" ht="14.4" x14ac:dyDescent="0.3">
      <c r="S125"/>
      <c r="T125"/>
      <c r="AA125"/>
      <c r="AB125"/>
      <c r="AI125"/>
      <c r="AJ125"/>
      <c r="AQ125"/>
      <c r="AR125"/>
      <c r="AU125"/>
      <c r="AV125"/>
      <c r="AY125"/>
      <c r="AZ125"/>
      <c r="BB125"/>
      <c r="BC125"/>
      <c r="BF125"/>
      <c r="BG125"/>
      <c r="BM125"/>
      <c r="BN125"/>
      <c r="BY125"/>
      <c r="BZ125"/>
      <c r="CJ125"/>
      <c r="CK125"/>
      <c r="CN125"/>
      <c r="CO125"/>
      <c r="DC125"/>
      <c r="DD125"/>
      <c r="DK125"/>
      <c r="DL125"/>
      <c r="DP125"/>
      <c r="DQ125"/>
    </row>
    <row r="126" spans="19:121" ht="14.4" x14ac:dyDescent="0.3">
      <c r="S126"/>
      <c r="T126"/>
      <c r="AA126"/>
      <c r="AB126"/>
      <c r="AI126"/>
      <c r="AJ126"/>
      <c r="AQ126"/>
      <c r="AR126"/>
      <c r="AU126"/>
      <c r="AV126"/>
      <c r="AY126"/>
      <c r="AZ126"/>
      <c r="BB126"/>
      <c r="BC126"/>
      <c r="BF126"/>
      <c r="BG126"/>
      <c r="BM126"/>
      <c r="BN126"/>
      <c r="BY126"/>
      <c r="BZ126"/>
      <c r="CJ126"/>
      <c r="CK126"/>
      <c r="CN126"/>
      <c r="CO126"/>
      <c r="DC126"/>
      <c r="DD126"/>
      <c r="DK126"/>
      <c r="DL126"/>
      <c r="DP126"/>
      <c r="DQ126"/>
    </row>
    <row r="127" spans="19:121" ht="14.4" x14ac:dyDescent="0.3">
      <c r="S127"/>
      <c r="T127"/>
      <c r="AA127"/>
      <c r="AB127"/>
      <c r="AI127"/>
      <c r="AJ127"/>
      <c r="AQ127"/>
      <c r="AR127"/>
      <c r="AU127"/>
      <c r="AV127"/>
      <c r="AY127"/>
      <c r="AZ127"/>
      <c r="BB127"/>
      <c r="BC127"/>
      <c r="BF127"/>
      <c r="BG127"/>
      <c r="BM127"/>
      <c r="BN127"/>
      <c r="BY127"/>
      <c r="BZ127"/>
      <c r="CJ127"/>
      <c r="CK127"/>
      <c r="CN127"/>
      <c r="CO127"/>
      <c r="DC127"/>
      <c r="DD127"/>
      <c r="DK127"/>
      <c r="DL127"/>
      <c r="DP127"/>
      <c r="DQ127"/>
    </row>
    <row r="128" spans="19:121" ht="14.4" x14ac:dyDescent="0.3">
      <c r="S128"/>
      <c r="T128"/>
      <c r="AA128"/>
      <c r="AB128"/>
      <c r="AI128"/>
      <c r="AJ128"/>
      <c r="AQ128"/>
      <c r="AR128"/>
      <c r="AU128"/>
      <c r="AV128"/>
      <c r="AY128"/>
      <c r="AZ128"/>
      <c r="BB128"/>
      <c r="BC128"/>
      <c r="BF128"/>
      <c r="BG128"/>
      <c r="BM128"/>
      <c r="BN128"/>
      <c r="BY128"/>
      <c r="BZ128"/>
      <c r="CJ128"/>
      <c r="CK128"/>
      <c r="CN128"/>
      <c r="CO128"/>
      <c r="DC128"/>
      <c r="DD128"/>
      <c r="DK128"/>
      <c r="DL128"/>
      <c r="DP128"/>
      <c r="DQ128"/>
    </row>
    <row r="129" spans="19:121" ht="14.4" x14ac:dyDescent="0.3">
      <c r="S129"/>
      <c r="T129"/>
      <c r="AA129"/>
      <c r="AB129"/>
      <c r="AI129"/>
      <c r="AJ129"/>
      <c r="AQ129"/>
      <c r="AR129"/>
      <c r="AU129"/>
      <c r="AV129"/>
      <c r="AY129"/>
      <c r="AZ129"/>
      <c r="BB129"/>
      <c r="BC129"/>
      <c r="BF129"/>
      <c r="BG129"/>
      <c r="BM129"/>
      <c r="BN129"/>
      <c r="BY129"/>
      <c r="BZ129"/>
      <c r="CJ129"/>
      <c r="CK129"/>
      <c r="CN129"/>
      <c r="CO129"/>
      <c r="DC129"/>
      <c r="DD129"/>
      <c r="DK129"/>
      <c r="DL129"/>
      <c r="DP129"/>
      <c r="DQ129"/>
    </row>
    <row r="130" spans="19:121" ht="14.4" x14ac:dyDescent="0.3">
      <c r="S130"/>
      <c r="T130"/>
      <c r="AA130"/>
      <c r="AB130"/>
      <c r="AI130"/>
      <c r="AJ130"/>
      <c r="AQ130"/>
      <c r="AR130"/>
      <c r="AU130"/>
      <c r="AV130"/>
      <c r="AY130"/>
      <c r="AZ130"/>
      <c r="BB130"/>
      <c r="BC130"/>
      <c r="BF130"/>
      <c r="BG130"/>
      <c r="BM130"/>
      <c r="BN130"/>
      <c r="BY130"/>
      <c r="BZ130"/>
      <c r="CJ130"/>
      <c r="CK130"/>
      <c r="CN130"/>
      <c r="CO130"/>
      <c r="DC130"/>
      <c r="DD130"/>
      <c r="DK130"/>
      <c r="DL130"/>
      <c r="DP130"/>
      <c r="DQ130"/>
    </row>
    <row r="131" spans="19:121" ht="14.4" x14ac:dyDescent="0.3">
      <c r="S131"/>
      <c r="T131"/>
      <c r="AA131"/>
      <c r="AB131"/>
      <c r="AI131"/>
      <c r="AJ131"/>
      <c r="AQ131"/>
      <c r="AR131"/>
      <c r="AU131"/>
      <c r="AV131"/>
      <c r="AY131"/>
      <c r="AZ131"/>
      <c r="BB131"/>
      <c r="BC131"/>
      <c r="BF131"/>
      <c r="BG131"/>
      <c r="BM131"/>
      <c r="BN131"/>
      <c r="BY131"/>
      <c r="BZ131"/>
      <c r="CJ131"/>
      <c r="CK131"/>
      <c r="CN131"/>
      <c r="CO131"/>
      <c r="DC131"/>
      <c r="DD131"/>
      <c r="DK131"/>
      <c r="DL131"/>
      <c r="DP131"/>
      <c r="DQ131"/>
    </row>
    <row r="132" spans="19:121" ht="14.4" x14ac:dyDescent="0.3">
      <c r="S132"/>
      <c r="T132"/>
      <c r="AA132"/>
      <c r="AB132"/>
      <c r="AI132"/>
      <c r="AJ132"/>
      <c r="AQ132"/>
      <c r="AR132"/>
      <c r="AU132"/>
      <c r="AV132"/>
      <c r="AY132"/>
      <c r="AZ132"/>
      <c r="BB132"/>
      <c r="BC132"/>
      <c r="BF132"/>
      <c r="BG132"/>
      <c r="BM132"/>
      <c r="BN132"/>
      <c r="BY132"/>
      <c r="BZ132"/>
      <c r="CJ132"/>
      <c r="CK132"/>
      <c r="CN132"/>
      <c r="CO132"/>
      <c r="DC132"/>
      <c r="DD132"/>
      <c r="DK132"/>
      <c r="DL132"/>
      <c r="DP132"/>
      <c r="DQ132"/>
    </row>
    <row r="133" spans="19:121" ht="14.4" x14ac:dyDescent="0.3">
      <c r="S133"/>
      <c r="T133"/>
      <c r="AA133"/>
      <c r="AB133"/>
      <c r="AI133"/>
      <c r="AJ133"/>
      <c r="AQ133"/>
      <c r="AR133"/>
      <c r="AU133"/>
      <c r="AV133"/>
      <c r="AY133"/>
      <c r="AZ133"/>
      <c r="BB133"/>
      <c r="BC133"/>
      <c r="BF133"/>
      <c r="BG133"/>
      <c r="BM133"/>
      <c r="BN133"/>
      <c r="BY133"/>
      <c r="BZ133"/>
      <c r="CJ133"/>
      <c r="CK133"/>
      <c r="CN133"/>
      <c r="CO133"/>
      <c r="DC133"/>
      <c r="DD133"/>
      <c r="DK133"/>
      <c r="DL133"/>
      <c r="DP133"/>
      <c r="DQ133"/>
    </row>
    <row r="134" spans="19:121" ht="14.4" x14ac:dyDescent="0.3">
      <c r="S134"/>
      <c r="T134"/>
      <c r="AA134"/>
      <c r="AB134"/>
      <c r="AI134"/>
      <c r="AJ134"/>
      <c r="AQ134"/>
      <c r="AR134"/>
      <c r="AU134"/>
      <c r="AV134"/>
      <c r="AY134"/>
      <c r="AZ134"/>
      <c r="BB134"/>
      <c r="BC134"/>
      <c r="BF134"/>
      <c r="BG134"/>
      <c r="BM134"/>
      <c r="BN134"/>
      <c r="BY134"/>
      <c r="BZ134"/>
      <c r="CJ134"/>
      <c r="CK134"/>
      <c r="CN134"/>
      <c r="CO134"/>
      <c r="DC134"/>
      <c r="DD134"/>
      <c r="DK134"/>
      <c r="DL134"/>
      <c r="DP134"/>
      <c r="DQ134"/>
    </row>
    <row r="135" spans="19:121" ht="14.4" x14ac:dyDescent="0.3">
      <c r="S135"/>
      <c r="T135"/>
      <c r="AA135"/>
      <c r="AB135"/>
      <c r="AI135"/>
      <c r="AJ135"/>
      <c r="AQ135"/>
      <c r="AR135"/>
      <c r="AU135"/>
      <c r="AV135"/>
      <c r="AY135"/>
      <c r="AZ135"/>
      <c r="BB135"/>
      <c r="BC135"/>
      <c r="BF135"/>
      <c r="BG135"/>
      <c r="BM135"/>
      <c r="BN135"/>
      <c r="BY135"/>
      <c r="BZ135"/>
      <c r="CJ135"/>
      <c r="CK135"/>
      <c r="CN135"/>
      <c r="CO135"/>
      <c r="DC135"/>
      <c r="DD135"/>
      <c r="DK135"/>
      <c r="DL135"/>
      <c r="DP135"/>
      <c r="DQ135"/>
    </row>
    <row r="136" spans="19:121" ht="14.4" x14ac:dyDescent="0.3">
      <c r="S136"/>
      <c r="T136"/>
      <c r="AA136"/>
      <c r="AB136"/>
      <c r="AI136"/>
      <c r="AJ136"/>
      <c r="AQ136"/>
      <c r="AR136"/>
      <c r="AU136"/>
      <c r="AV136"/>
      <c r="AY136"/>
      <c r="AZ136"/>
      <c r="BB136"/>
      <c r="BC136"/>
      <c r="BF136"/>
      <c r="BG136"/>
      <c r="BM136"/>
      <c r="BN136"/>
      <c r="BY136"/>
      <c r="BZ136"/>
      <c r="CJ136"/>
      <c r="CK136"/>
      <c r="CN136"/>
      <c r="CO136"/>
      <c r="DC136"/>
      <c r="DD136"/>
      <c r="DK136"/>
      <c r="DL136"/>
      <c r="DP136"/>
      <c r="DQ136"/>
    </row>
    <row r="137" spans="19:121" ht="14.4" x14ac:dyDescent="0.3">
      <c r="S137"/>
      <c r="T137"/>
      <c r="AA137"/>
      <c r="AB137"/>
      <c r="AI137"/>
      <c r="AJ137"/>
      <c r="AQ137"/>
      <c r="AR137"/>
      <c r="AU137"/>
      <c r="AV137"/>
      <c r="AY137"/>
      <c r="AZ137"/>
      <c r="BB137"/>
      <c r="BC137"/>
      <c r="BF137"/>
      <c r="BG137"/>
      <c r="BM137"/>
      <c r="BN137"/>
      <c r="BY137"/>
      <c r="BZ137"/>
      <c r="CJ137"/>
      <c r="CK137"/>
      <c r="CN137"/>
      <c r="CO137"/>
      <c r="DC137"/>
      <c r="DD137"/>
      <c r="DK137"/>
      <c r="DL137"/>
      <c r="DP137"/>
      <c r="DQ137"/>
    </row>
    <row r="138" spans="19:121" ht="14.4" x14ac:dyDescent="0.3">
      <c r="S138"/>
      <c r="T138"/>
      <c r="AA138"/>
      <c r="AB138"/>
      <c r="AI138"/>
      <c r="AJ138"/>
      <c r="AQ138"/>
      <c r="AR138"/>
      <c r="AU138"/>
      <c r="AV138"/>
      <c r="AY138"/>
      <c r="AZ138"/>
      <c r="BB138"/>
      <c r="BC138"/>
      <c r="BF138"/>
      <c r="BG138"/>
      <c r="BM138"/>
      <c r="BN138"/>
      <c r="BY138"/>
      <c r="BZ138"/>
      <c r="CJ138"/>
      <c r="CK138"/>
      <c r="CN138"/>
      <c r="CO138"/>
      <c r="DC138"/>
      <c r="DD138"/>
      <c r="DK138"/>
      <c r="DL138"/>
      <c r="DP138"/>
      <c r="DQ138"/>
    </row>
    <row r="139" spans="19:121" ht="14.4" x14ac:dyDescent="0.3">
      <c r="S139"/>
      <c r="T139"/>
      <c r="AA139"/>
      <c r="AB139"/>
      <c r="AI139"/>
      <c r="AJ139"/>
      <c r="AQ139"/>
      <c r="AR139"/>
      <c r="AU139"/>
      <c r="AV139"/>
      <c r="AY139"/>
      <c r="AZ139"/>
      <c r="BB139"/>
      <c r="BC139"/>
      <c r="BF139"/>
      <c r="BG139"/>
      <c r="BM139"/>
      <c r="BN139"/>
      <c r="BY139"/>
      <c r="BZ139"/>
      <c r="CJ139"/>
      <c r="CK139"/>
      <c r="CN139"/>
      <c r="CO139"/>
      <c r="DC139"/>
      <c r="DD139"/>
      <c r="DK139"/>
      <c r="DL139"/>
      <c r="DP139"/>
      <c r="DQ139"/>
    </row>
    <row r="140" spans="19:121" ht="14.4" x14ac:dyDescent="0.3">
      <c r="S140"/>
      <c r="T140"/>
      <c r="AA140"/>
      <c r="AB140"/>
      <c r="AI140"/>
      <c r="AJ140"/>
      <c r="AQ140"/>
      <c r="AR140"/>
      <c r="AU140"/>
      <c r="AV140"/>
      <c r="AY140"/>
      <c r="AZ140"/>
      <c r="BB140"/>
      <c r="BC140"/>
      <c r="BF140"/>
      <c r="BG140"/>
      <c r="BM140"/>
      <c r="BN140"/>
      <c r="BY140"/>
      <c r="BZ140"/>
      <c r="CJ140"/>
      <c r="CK140"/>
      <c r="CN140"/>
      <c r="CO140"/>
      <c r="DC140"/>
      <c r="DD140"/>
      <c r="DK140"/>
      <c r="DL140"/>
      <c r="DP140"/>
      <c r="DQ140"/>
    </row>
    <row r="141" spans="19:121" ht="14.4" x14ac:dyDescent="0.3">
      <c r="S141"/>
      <c r="T141"/>
      <c r="AA141"/>
      <c r="AB141"/>
      <c r="AI141"/>
      <c r="AJ141"/>
      <c r="AQ141"/>
      <c r="AR141"/>
      <c r="AU141"/>
      <c r="AV141"/>
      <c r="AY141"/>
      <c r="AZ141"/>
      <c r="BB141"/>
      <c r="BC141"/>
      <c r="BF141"/>
      <c r="BG141"/>
      <c r="BM141"/>
      <c r="BN141"/>
      <c r="BY141"/>
      <c r="BZ141"/>
      <c r="CJ141"/>
      <c r="CK141"/>
      <c r="CN141"/>
      <c r="CO141"/>
      <c r="DC141"/>
      <c r="DD141"/>
      <c r="DK141"/>
      <c r="DL141"/>
      <c r="DP141"/>
      <c r="DQ141"/>
    </row>
    <row r="142" spans="19:121" ht="14.4" x14ac:dyDescent="0.3">
      <c r="S142"/>
      <c r="T142"/>
      <c r="AA142"/>
      <c r="AB142"/>
      <c r="AI142"/>
      <c r="AJ142"/>
      <c r="AQ142"/>
      <c r="AR142"/>
      <c r="AU142"/>
      <c r="AV142"/>
      <c r="AY142"/>
      <c r="AZ142"/>
      <c r="BB142"/>
      <c r="BC142"/>
      <c r="BF142"/>
      <c r="BG142"/>
      <c r="BM142"/>
      <c r="BN142"/>
      <c r="BY142"/>
      <c r="BZ142"/>
      <c r="CJ142"/>
      <c r="CK142"/>
      <c r="CN142"/>
      <c r="CO142"/>
      <c r="DC142"/>
      <c r="DD142"/>
      <c r="DK142"/>
      <c r="DL142"/>
      <c r="DP142"/>
      <c r="DQ142"/>
    </row>
    <row r="143" spans="19:121" ht="14.4" x14ac:dyDescent="0.3">
      <c r="S143"/>
      <c r="T143"/>
      <c r="AA143"/>
      <c r="AB143"/>
      <c r="AI143"/>
      <c r="AJ143"/>
      <c r="AQ143"/>
      <c r="AR143"/>
      <c r="AU143"/>
      <c r="AV143"/>
      <c r="AY143"/>
      <c r="AZ143"/>
      <c r="BB143"/>
      <c r="BC143"/>
      <c r="BF143"/>
      <c r="BG143"/>
      <c r="BM143"/>
      <c r="BN143"/>
      <c r="BY143"/>
      <c r="BZ143"/>
      <c r="CJ143"/>
      <c r="CK143"/>
      <c r="CN143"/>
      <c r="CO143"/>
      <c r="DC143"/>
      <c r="DD143"/>
      <c r="DK143"/>
      <c r="DL143"/>
      <c r="DP143"/>
      <c r="DQ143"/>
    </row>
    <row r="144" spans="19:121" ht="14.4" x14ac:dyDescent="0.3">
      <c r="S144"/>
      <c r="T144"/>
      <c r="AA144"/>
      <c r="AB144"/>
      <c r="AI144"/>
      <c r="AJ144"/>
      <c r="AQ144"/>
      <c r="AR144"/>
      <c r="AU144"/>
      <c r="AV144"/>
      <c r="AY144"/>
      <c r="AZ144"/>
      <c r="BB144"/>
      <c r="BC144"/>
      <c r="BF144"/>
      <c r="BG144"/>
      <c r="BM144"/>
      <c r="BN144"/>
      <c r="BY144"/>
      <c r="BZ144"/>
      <c r="CJ144"/>
      <c r="CK144"/>
      <c r="CN144"/>
      <c r="CO144"/>
      <c r="DC144"/>
      <c r="DD144"/>
      <c r="DK144"/>
      <c r="DL144"/>
      <c r="DP144"/>
      <c r="DQ144"/>
    </row>
    <row r="145" spans="19:121" ht="14.4" x14ac:dyDescent="0.3">
      <c r="S145"/>
      <c r="T145"/>
      <c r="AA145"/>
      <c r="AB145"/>
      <c r="AI145"/>
      <c r="AJ145"/>
      <c r="AQ145"/>
      <c r="AR145"/>
      <c r="AU145"/>
      <c r="AV145"/>
      <c r="AY145"/>
      <c r="AZ145"/>
      <c r="BB145"/>
      <c r="BC145"/>
      <c r="BF145"/>
      <c r="BG145"/>
      <c r="BM145"/>
      <c r="BN145"/>
      <c r="BY145"/>
      <c r="BZ145"/>
      <c r="CJ145"/>
      <c r="CK145"/>
      <c r="CN145"/>
      <c r="CO145"/>
      <c r="DC145"/>
      <c r="DD145"/>
      <c r="DK145"/>
      <c r="DL145"/>
      <c r="DP145"/>
      <c r="DQ145"/>
    </row>
    <row r="146" spans="19:121" ht="14.4" x14ac:dyDescent="0.3">
      <c r="S146"/>
      <c r="T146"/>
      <c r="AA146"/>
      <c r="AB146"/>
      <c r="AI146"/>
      <c r="AJ146"/>
      <c r="AQ146"/>
      <c r="AR146"/>
      <c r="AU146"/>
      <c r="AV146"/>
      <c r="AY146"/>
      <c r="AZ146"/>
      <c r="BB146"/>
      <c r="BC146"/>
      <c r="BF146"/>
      <c r="BG146"/>
      <c r="BM146"/>
      <c r="BN146"/>
      <c r="BY146"/>
      <c r="BZ146"/>
      <c r="CJ146"/>
      <c r="CK146"/>
      <c r="CN146"/>
      <c r="CO146"/>
      <c r="DC146"/>
      <c r="DD146"/>
      <c r="DK146"/>
      <c r="DL146"/>
      <c r="DP146"/>
      <c r="DQ146"/>
    </row>
    <row r="147" spans="19:121" ht="14.4" x14ac:dyDescent="0.3">
      <c r="S147"/>
      <c r="T147"/>
      <c r="AA147"/>
      <c r="AB147"/>
      <c r="AI147"/>
      <c r="AJ147"/>
      <c r="AQ147"/>
      <c r="AR147"/>
      <c r="AU147"/>
      <c r="AV147"/>
      <c r="AY147"/>
      <c r="AZ147"/>
      <c r="BB147"/>
      <c r="BC147"/>
      <c r="BF147"/>
      <c r="BG147"/>
      <c r="BM147"/>
      <c r="BN147"/>
      <c r="BY147"/>
      <c r="BZ147"/>
      <c r="CJ147"/>
      <c r="CK147"/>
      <c r="CN147"/>
      <c r="CO147"/>
      <c r="DC147"/>
      <c r="DD147"/>
      <c r="DK147"/>
      <c r="DL147"/>
      <c r="DP147"/>
      <c r="DQ147"/>
    </row>
    <row r="148" spans="19:121" ht="14.4" x14ac:dyDescent="0.3">
      <c r="S148"/>
      <c r="T148"/>
      <c r="AA148"/>
      <c r="AB148"/>
      <c r="AI148"/>
      <c r="AJ148"/>
      <c r="AQ148"/>
      <c r="AR148"/>
      <c r="AU148"/>
      <c r="AV148"/>
      <c r="AY148"/>
      <c r="AZ148"/>
      <c r="BB148"/>
      <c r="BC148"/>
      <c r="BF148"/>
      <c r="BG148"/>
      <c r="BM148"/>
      <c r="BN148"/>
      <c r="BY148"/>
      <c r="BZ148"/>
      <c r="CJ148"/>
      <c r="CK148"/>
      <c r="CN148"/>
      <c r="CO148"/>
      <c r="DC148"/>
      <c r="DD148"/>
      <c r="DK148"/>
      <c r="DL148"/>
      <c r="DP148"/>
      <c r="DQ148"/>
    </row>
    <row r="149" spans="19:121" ht="14.4" x14ac:dyDescent="0.3">
      <c r="S149"/>
      <c r="T149"/>
      <c r="AA149"/>
      <c r="AB149"/>
      <c r="AI149"/>
      <c r="AJ149"/>
      <c r="AQ149"/>
      <c r="AR149"/>
      <c r="AU149"/>
      <c r="AV149"/>
      <c r="AY149"/>
      <c r="AZ149"/>
      <c r="BB149"/>
      <c r="BC149"/>
      <c r="BF149"/>
      <c r="BG149"/>
      <c r="BM149"/>
      <c r="BN149"/>
      <c r="BY149"/>
      <c r="BZ149"/>
      <c r="CJ149"/>
      <c r="CK149"/>
      <c r="CN149"/>
      <c r="CO149"/>
      <c r="DC149"/>
      <c r="DD149"/>
      <c r="DK149"/>
      <c r="DL149"/>
      <c r="DP149"/>
      <c r="DQ149"/>
    </row>
    <row r="150" spans="19:121" ht="14.4" x14ac:dyDescent="0.3">
      <c r="S150"/>
      <c r="T150"/>
      <c r="AA150"/>
      <c r="AB150"/>
      <c r="AI150"/>
      <c r="AJ150"/>
      <c r="AQ150"/>
      <c r="AR150"/>
      <c r="AU150"/>
      <c r="AV150"/>
      <c r="AY150"/>
      <c r="AZ150"/>
      <c r="BB150"/>
      <c r="BC150"/>
      <c r="BF150"/>
      <c r="BG150"/>
      <c r="BM150"/>
      <c r="BN150"/>
      <c r="BY150"/>
      <c r="BZ150"/>
      <c r="CJ150"/>
      <c r="CK150"/>
      <c r="CN150"/>
      <c r="CO150"/>
      <c r="DC150"/>
      <c r="DD150"/>
      <c r="DK150"/>
      <c r="DL150"/>
      <c r="DP150"/>
      <c r="DQ150"/>
    </row>
    <row r="151" spans="19:121" ht="14.4" x14ac:dyDescent="0.3">
      <c r="S151"/>
      <c r="T151"/>
      <c r="AA151"/>
      <c r="AB151"/>
      <c r="AI151"/>
      <c r="AJ151"/>
      <c r="AQ151"/>
      <c r="AR151"/>
      <c r="AU151"/>
      <c r="AV151"/>
      <c r="AY151"/>
      <c r="AZ151"/>
      <c r="BB151"/>
      <c r="BC151"/>
      <c r="BF151"/>
      <c r="BG151"/>
      <c r="BM151"/>
      <c r="BN151"/>
      <c r="BY151"/>
      <c r="BZ151"/>
      <c r="CJ151"/>
      <c r="CK151"/>
      <c r="CN151"/>
      <c r="CO151"/>
      <c r="DC151"/>
      <c r="DD151"/>
      <c r="DK151"/>
      <c r="DL151"/>
      <c r="DP151"/>
      <c r="DQ151"/>
    </row>
    <row r="152" spans="19:121" ht="14.4" x14ac:dyDescent="0.3">
      <c r="S152"/>
      <c r="T152"/>
      <c r="AA152"/>
      <c r="AB152"/>
      <c r="AI152"/>
      <c r="AJ152"/>
      <c r="AQ152"/>
      <c r="AR152"/>
      <c r="AU152"/>
      <c r="AV152"/>
      <c r="AY152"/>
      <c r="AZ152"/>
      <c r="BB152"/>
      <c r="BC152"/>
      <c r="BF152"/>
      <c r="BG152"/>
      <c r="BM152"/>
      <c r="BN152"/>
      <c r="BY152"/>
      <c r="BZ152"/>
      <c r="CJ152"/>
      <c r="CK152"/>
      <c r="CN152"/>
      <c r="CO152"/>
      <c r="DC152"/>
      <c r="DD152"/>
      <c r="DK152"/>
      <c r="DL152"/>
      <c r="DP152"/>
      <c r="DQ152"/>
    </row>
    <row r="153" spans="19:121" ht="14.4" x14ac:dyDescent="0.3">
      <c r="S153"/>
      <c r="T153"/>
      <c r="AA153"/>
      <c r="AB153"/>
      <c r="AI153"/>
      <c r="AJ153"/>
      <c r="AQ153"/>
      <c r="AR153"/>
      <c r="AU153"/>
      <c r="AV153"/>
      <c r="AY153"/>
      <c r="AZ153"/>
      <c r="BB153"/>
      <c r="BC153"/>
      <c r="BF153"/>
      <c r="BG153"/>
      <c r="BM153"/>
      <c r="BN153"/>
      <c r="BY153"/>
      <c r="BZ153"/>
      <c r="CJ153"/>
      <c r="CK153"/>
      <c r="CN153"/>
      <c r="CO153"/>
      <c r="DC153"/>
      <c r="DD153"/>
      <c r="DK153"/>
      <c r="DL153"/>
      <c r="DP153"/>
      <c r="DQ153"/>
    </row>
    <row r="154" spans="19:121" ht="14.4" x14ac:dyDescent="0.3">
      <c r="S154"/>
      <c r="T154"/>
      <c r="AA154"/>
      <c r="AB154"/>
      <c r="AI154"/>
      <c r="AJ154"/>
      <c r="AQ154"/>
      <c r="AR154"/>
      <c r="AU154"/>
      <c r="AV154"/>
      <c r="AY154"/>
      <c r="AZ154"/>
      <c r="BB154"/>
      <c r="BC154"/>
      <c r="BF154"/>
      <c r="BG154"/>
      <c r="BM154"/>
      <c r="BN154"/>
      <c r="BY154"/>
      <c r="BZ154"/>
      <c r="CJ154"/>
      <c r="CK154"/>
      <c r="CN154"/>
      <c r="CO154"/>
      <c r="DC154"/>
      <c r="DD154"/>
      <c r="DK154"/>
      <c r="DL154"/>
      <c r="DP154"/>
      <c r="DQ154"/>
    </row>
    <row r="155" spans="19:121" ht="14.4" x14ac:dyDescent="0.3">
      <c r="S155"/>
      <c r="T155"/>
      <c r="AA155"/>
      <c r="AB155"/>
      <c r="AI155"/>
      <c r="AJ155"/>
      <c r="AQ155"/>
      <c r="AR155"/>
      <c r="AU155"/>
      <c r="AV155"/>
      <c r="AY155"/>
      <c r="AZ155"/>
      <c r="BB155"/>
      <c r="BC155"/>
      <c r="BF155"/>
      <c r="BG155"/>
      <c r="BM155"/>
      <c r="BN155"/>
      <c r="BY155"/>
      <c r="BZ155"/>
      <c r="CJ155"/>
      <c r="CK155"/>
      <c r="CN155"/>
      <c r="CO155"/>
      <c r="DC155"/>
      <c r="DD155"/>
      <c r="DK155"/>
      <c r="DL155"/>
      <c r="DP155"/>
      <c r="DQ155"/>
    </row>
    <row r="156" spans="19:121" ht="14.4" x14ac:dyDescent="0.3">
      <c r="S156"/>
      <c r="T156"/>
      <c r="AA156"/>
      <c r="AB156"/>
      <c r="AI156"/>
      <c r="AJ156"/>
      <c r="AQ156"/>
      <c r="AR156"/>
      <c r="AU156"/>
      <c r="AV156"/>
      <c r="AY156"/>
      <c r="AZ156"/>
      <c r="BB156"/>
      <c r="BC156"/>
      <c r="BF156"/>
      <c r="BG156"/>
      <c r="BM156"/>
      <c r="BN156"/>
      <c r="BY156"/>
      <c r="BZ156"/>
      <c r="CJ156"/>
      <c r="CK156"/>
      <c r="CN156"/>
      <c r="CO156"/>
      <c r="DC156"/>
      <c r="DD156"/>
      <c r="DK156"/>
      <c r="DL156"/>
      <c r="DP156"/>
      <c r="DQ156"/>
    </row>
    <row r="157" spans="19:121" ht="14.4" x14ac:dyDescent="0.3">
      <c r="S157"/>
      <c r="T157"/>
      <c r="AA157"/>
      <c r="AB157"/>
      <c r="AI157"/>
      <c r="AJ157"/>
      <c r="AQ157"/>
      <c r="AR157"/>
      <c r="AU157"/>
      <c r="AV157"/>
      <c r="AY157"/>
      <c r="AZ157"/>
      <c r="BB157"/>
      <c r="BC157"/>
      <c r="BF157"/>
      <c r="BG157"/>
      <c r="BM157"/>
      <c r="BN157"/>
      <c r="BY157"/>
      <c r="BZ157"/>
      <c r="CJ157"/>
      <c r="CK157"/>
      <c r="CN157"/>
      <c r="CO157"/>
      <c r="DC157"/>
      <c r="DD157"/>
      <c r="DK157"/>
      <c r="DL157"/>
      <c r="DP157"/>
      <c r="DQ157"/>
    </row>
    <row r="158" spans="19:121" ht="14.4" x14ac:dyDescent="0.3">
      <c r="S158"/>
      <c r="T158"/>
      <c r="AA158"/>
      <c r="AB158"/>
      <c r="AI158"/>
      <c r="AJ158"/>
      <c r="AQ158"/>
      <c r="AR158"/>
      <c r="AU158"/>
      <c r="AV158"/>
      <c r="AY158"/>
      <c r="AZ158"/>
      <c r="BB158"/>
      <c r="BC158"/>
      <c r="BF158"/>
      <c r="BG158"/>
      <c r="BM158"/>
      <c r="BN158"/>
      <c r="BY158"/>
      <c r="BZ158"/>
      <c r="CJ158"/>
      <c r="CK158"/>
      <c r="CN158"/>
      <c r="CO158"/>
      <c r="DC158"/>
      <c r="DD158"/>
      <c r="DK158"/>
      <c r="DL158"/>
      <c r="DP158"/>
      <c r="DQ158"/>
    </row>
    <row r="159" spans="19:121" ht="14.4" x14ac:dyDescent="0.3">
      <c r="S159"/>
      <c r="T159"/>
      <c r="AA159"/>
      <c r="AB159"/>
      <c r="AI159"/>
      <c r="AJ159"/>
      <c r="AQ159"/>
      <c r="AR159"/>
      <c r="AU159"/>
      <c r="AV159"/>
      <c r="AY159"/>
      <c r="AZ159"/>
      <c r="BB159"/>
      <c r="BC159"/>
      <c r="BF159"/>
      <c r="BG159"/>
      <c r="BM159"/>
      <c r="BN159"/>
      <c r="BY159"/>
      <c r="BZ159"/>
      <c r="CJ159"/>
      <c r="CK159"/>
      <c r="CN159"/>
      <c r="CO159"/>
      <c r="DC159"/>
      <c r="DD159"/>
      <c r="DK159"/>
      <c r="DL159"/>
      <c r="DP159"/>
      <c r="DQ159"/>
    </row>
    <row r="160" spans="19:121" ht="14.4" x14ac:dyDescent="0.3">
      <c r="S160"/>
      <c r="T160"/>
      <c r="AA160"/>
      <c r="AB160"/>
      <c r="AI160"/>
      <c r="AJ160"/>
      <c r="AQ160"/>
      <c r="AR160"/>
      <c r="AU160"/>
      <c r="AV160"/>
      <c r="AY160"/>
      <c r="AZ160"/>
      <c r="BB160"/>
      <c r="BC160"/>
      <c r="BF160"/>
      <c r="BG160"/>
      <c r="BM160"/>
      <c r="BN160"/>
      <c r="BY160"/>
      <c r="BZ160"/>
      <c r="CJ160"/>
      <c r="CK160"/>
      <c r="CN160"/>
      <c r="CO160"/>
      <c r="DC160"/>
      <c r="DD160"/>
      <c r="DK160"/>
      <c r="DL160"/>
      <c r="DP160"/>
      <c r="DQ160"/>
    </row>
    <row r="161" spans="19:121" ht="14.4" x14ac:dyDescent="0.3">
      <c r="S161"/>
      <c r="T161"/>
      <c r="AA161"/>
      <c r="AB161"/>
      <c r="AI161"/>
      <c r="AJ161"/>
      <c r="AQ161"/>
      <c r="AR161"/>
      <c r="AU161"/>
      <c r="AV161"/>
      <c r="AY161"/>
      <c r="AZ161"/>
      <c r="BB161"/>
      <c r="BC161"/>
      <c r="BF161"/>
      <c r="BG161"/>
      <c r="BM161"/>
      <c r="BN161"/>
      <c r="BY161"/>
      <c r="BZ161"/>
      <c r="CJ161"/>
      <c r="CK161"/>
      <c r="CN161"/>
      <c r="CO161"/>
      <c r="DC161"/>
      <c r="DD161"/>
      <c r="DK161"/>
      <c r="DL161"/>
      <c r="DP161"/>
      <c r="DQ161"/>
    </row>
    <row r="162" spans="19:121" ht="14.4" x14ac:dyDescent="0.3">
      <c r="S162"/>
      <c r="T162"/>
      <c r="AA162"/>
      <c r="AB162"/>
      <c r="AI162"/>
      <c r="AJ162"/>
      <c r="AQ162"/>
      <c r="AR162"/>
      <c r="AU162"/>
      <c r="AV162"/>
      <c r="AY162"/>
      <c r="AZ162"/>
      <c r="BB162"/>
      <c r="BC162"/>
      <c r="BF162"/>
      <c r="BG162"/>
      <c r="BM162"/>
      <c r="BN162"/>
      <c r="BY162"/>
      <c r="BZ162"/>
      <c r="CJ162"/>
      <c r="CK162"/>
      <c r="CN162"/>
      <c r="CO162"/>
      <c r="DC162"/>
      <c r="DD162"/>
      <c r="DK162"/>
      <c r="DL162"/>
      <c r="DP162"/>
      <c r="DQ162"/>
    </row>
    <row r="163" spans="19:121" ht="14.4" x14ac:dyDescent="0.3">
      <c r="S163"/>
      <c r="T163"/>
      <c r="AA163"/>
      <c r="AB163"/>
      <c r="AI163"/>
      <c r="AJ163"/>
      <c r="AQ163"/>
      <c r="AR163"/>
      <c r="AU163"/>
      <c r="AV163"/>
      <c r="AY163"/>
      <c r="AZ163"/>
      <c r="BB163"/>
      <c r="BC163"/>
      <c r="BF163"/>
      <c r="BG163"/>
      <c r="BM163"/>
      <c r="BN163"/>
      <c r="BY163"/>
      <c r="BZ163"/>
      <c r="CJ163"/>
      <c r="CK163"/>
      <c r="CN163"/>
      <c r="CO163"/>
      <c r="DC163"/>
      <c r="DD163"/>
      <c r="DK163"/>
      <c r="DL163"/>
      <c r="DP163"/>
      <c r="DQ163"/>
    </row>
    <row r="164" spans="19:121" ht="14.4" x14ac:dyDescent="0.3">
      <c r="S164"/>
      <c r="T164"/>
      <c r="AA164"/>
      <c r="AB164"/>
      <c r="AI164"/>
      <c r="AJ164"/>
      <c r="AQ164"/>
      <c r="AR164"/>
      <c r="AU164"/>
      <c r="AV164"/>
      <c r="AY164"/>
      <c r="AZ164"/>
      <c r="BB164"/>
      <c r="BC164"/>
      <c r="BF164"/>
      <c r="BG164"/>
      <c r="BM164"/>
      <c r="BN164"/>
      <c r="BY164"/>
      <c r="BZ164"/>
      <c r="CJ164"/>
      <c r="CK164"/>
      <c r="CN164"/>
      <c r="CO164"/>
      <c r="DC164"/>
      <c r="DD164"/>
      <c r="DK164"/>
      <c r="DL164"/>
      <c r="DP164"/>
      <c r="DQ164"/>
    </row>
    <row r="165" spans="19:121" ht="14.4" x14ac:dyDescent="0.3">
      <c r="S165"/>
      <c r="T165"/>
      <c r="AA165"/>
      <c r="AB165"/>
      <c r="AI165"/>
      <c r="AJ165"/>
      <c r="AQ165"/>
      <c r="AR165"/>
      <c r="AU165"/>
      <c r="AV165"/>
      <c r="AY165"/>
      <c r="AZ165"/>
      <c r="BB165"/>
      <c r="BC165"/>
      <c r="BF165"/>
      <c r="BG165"/>
      <c r="BM165"/>
      <c r="BN165"/>
      <c r="BY165"/>
      <c r="BZ165"/>
      <c r="CJ165"/>
      <c r="CK165"/>
      <c r="CN165"/>
      <c r="CO165"/>
      <c r="DC165"/>
      <c r="DD165"/>
      <c r="DK165"/>
      <c r="DL165"/>
      <c r="DP165"/>
      <c r="DQ165"/>
    </row>
    <row r="166" spans="19:121" ht="14.4" x14ac:dyDescent="0.3">
      <c r="S166"/>
      <c r="T166"/>
      <c r="AA166"/>
      <c r="AB166"/>
      <c r="AI166"/>
      <c r="AJ166"/>
      <c r="AQ166"/>
      <c r="AR166"/>
      <c r="AU166"/>
      <c r="AV166"/>
      <c r="AY166"/>
      <c r="AZ166"/>
      <c r="BB166"/>
      <c r="BC166"/>
      <c r="BF166"/>
      <c r="BG166"/>
      <c r="BM166"/>
      <c r="BN166"/>
      <c r="BY166"/>
      <c r="BZ166"/>
      <c r="CJ166"/>
      <c r="CK166"/>
      <c r="CN166"/>
      <c r="CO166"/>
      <c r="DC166"/>
      <c r="DD166"/>
      <c r="DK166"/>
      <c r="DL166"/>
      <c r="DP166"/>
      <c r="DQ166"/>
    </row>
    <row r="167" spans="19:121" ht="14.4" x14ac:dyDescent="0.3">
      <c r="S167"/>
      <c r="T167"/>
      <c r="AA167"/>
      <c r="AB167"/>
      <c r="AI167"/>
      <c r="AJ167"/>
      <c r="AQ167"/>
      <c r="AR167"/>
      <c r="AU167"/>
      <c r="AV167"/>
      <c r="AY167"/>
      <c r="AZ167"/>
      <c r="BB167"/>
      <c r="BC167"/>
      <c r="BF167"/>
      <c r="BG167"/>
      <c r="BM167"/>
      <c r="BN167"/>
      <c r="BY167"/>
      <c r="BZ167"/>
      <c r="CJ167"/>
      <c r="CK167"/>
      <c r="CN167"/>
      <c r="CO167"/>
      <c r="DC167"/>
      <c r="DD167"/>
      <c r="DK167"/>
      <c r="DL167"/>
      <c r="DP167"/>
      <c r="DQ167"/>
    </row>
    <row r="168" spans="19:121" ht="14.4" x14ac:dyDescent="0.3">
      <c r="S168"/>
      <c r="T168"/>
      <c r="AA168"/>
      <c r="AB168"/>
      <c r="AI168"/>
      <c r="AJ168"/>
      <c r="AQ168"/>
      <c r="AR168"/>
      <c r="AU168"/>
      <c r="AV168"/>
      <c r="AY168"/>
      <c r="AZ168"/>
      <c r="BB168"/>
      <c r="BC168"/>
      <c r="BF168"/>
      <c r="BG168"/>
      <c r="BM168"/>
      <c r="BN168"/>
      <c r="BY168"/>
      <c r="BZ168"/>
      <c r="CJ168"/>
      <c r="CK168"/>
      <c r="CN168"/>
      <c r="CO168"/>
      <c r="DC168"/>
      <c r="DD168"/>
      <c r="DK168"/>
      <c r="DL168"/>
      <c r="DP168"/>
      <c r="DQ168"/>
    </row>
    <row r="169" spans="19:121" ht="14.4" x14ac:dyDescent="0.3">
      <c r="S169"/>
      <c r="T169"/>
      <c r="AA169"/>
      <c r="AB169"/>
      <c r="AI169"/>
      <c r="AJ169"/>
      <c r="AQ169"/>
      <c r="AR169"/>
      <c r="AU169"/>
      <c r="AV169"/>
      <c r="AY169"/>
      <c r="AZ169"/>
      <c r="BB169"/>
      <c r="BC169"/>
      <c r="BF169"/>
      <c r="BG169"/>
      <c r="BM169"/>
      <c r="BN169"/>
      <c r="BY169"/>
      <c r="BZ169"/>
      <c r="CJ169"/>
      <c r="CK169"/>
      <c r="CN169"/>
      <c r="CO169"/>
      <c r="DC169"/>
      <c r="DD169"/>
      <c r="DK169"/>
      <c r="DL169"/>
      <c r="DP169"/>
      <c r="DQ169"/>
    </row>
    <row r="170" spans="19:121" ht="14.4" x14ac:dyDescent="0.3">
      <c r="S170"/>
      <c r="T170"/>
      <c r="AA170"/>
      <c r="AB170"/>
      <c r="AI170"/>
      <c r="AJ170"/>
      <c r="AQ170"/>
      <c r="AR170"/>
      <c r="AU170"/>
      <c r="AV170"/>
      <c r="AY170"/>
      <c r="AZ170"/>
      <c r="BB170"/>
      <c r="BC170"/>
      <c r="BF170"/>
      <c r="BG170"/>
      <c r="BM170"/>
      <c r="BN170"/>
      <c r="BY170"/>
      <c r="BZ170"/>
      <c r="CJ170"/>
      <c r="CK170"/>
      <c r="CN170"/>
      <c r="CO170"/>
      <c r="DC170"/>
      <c r="DD170"/>
      <c r="DK170"/>
      <c r="DL170"/>
      <c r="DP170"/>
      <c r="DQ170"/>
    </row>
    <row r="171" spans="19:121" ht="14.4" x14ac:dyDescent="0.3">
      <c r="S171"/>
      <c r="T171"/>
      <c r="AA171"/>
      <c r="AB171"/>
      <c r="AI171"/>
      <c r="AJ171"/>
      <c r="AQ171"/>
      <c r="AR171"/>
      <c r="AU171"/>
      <c r="AV171"/>
      <c r="AY171"/>
      <c r="AZ171"/>
      <c r="BB171"/>
      <c r="BC171"/>
      <c r="BF171"/>
      <c r="BG171"/>
      <c r="BM171"/>
      <c r="BN171"/>
      <c r="BY171"/>
      <c r="BZ171"/>
      <c r="CJ171"/>
      <c r="CK171"/>
      <c r="CN171"/>
      <c r="CO171"/>
      <c r="DC171"/>
      <c r="DD171"/>
      <c r="DK171"/>
      <c r="DL171"/>
      <c r="DP171"/>
      <c r="DQ171"/>
    </row>
    <row r="172" spans="19:121" ht="14.4" x14ac:dyDescent="0.3">
      <c r="S172"/>
      <c r="T172"/>
      <c r="AA172"/>
      <c r="AB172"/>
      <c r="AI172"/>
      <c r="AJ172"/>
      <c r="AQ172"/>
      <c r="AR172"/>
      <c r="AU172"/>
      <c r="AV172"/>
      <c r="AY172"/>
      <c r="AZ172"/>
      <c r="BB172"/>
      <c r="BC172"/>
      <c r="BF172"/>
      <c r="BG172"/>
      <c r="BM172"/>
      <c r="BN172"/>
      <c r="BY172"/>
      <c r="BZ172"/>
      <c r="CJ172"/>
      <c r="CK172"/>
      <c r="CN172"/>
      <c r="CO172"/>
      <c r="DC172"/>
      <c r="DD172"/>
      <c r="DK172"/>
      <c r="DL172"/>
      <c r="DP172"/>
      <c r="DQ172"/>
    </row>
    <row r="173" spans="19:121" ht="14.4" x14ac:dyDescent="0.3">
      <c r="S173"/>
      <c r="T173"/>
      <c r="AA173"/>
      <c r="AB173"/>
      <c r="AI173"/>
      <c r="AJ173"/>
      <c r="AQ173"/>
      <c r="AR173"/>
      <c r="AU173"/>
      <c r="AV173"/>
      <c r="AY173"/>
      <c r="AZ173"/>
      <c r="BB173"/>
      <c r="BC173"/>
      <c r="BF173"/>
      <c r="BG173"/>
      <c r="BM173"/>
      <c r="BN173"/>
      <c r="BY173"/>
      <c r="BZ173"/>
      <c r="CJ173"/>
      <c r="CK173"/>
      <c r="CN173"/>
      <c r="CO173"/>
      <c r="DC173"/>
      <c r="DD173"/>
      <c r="DK173"/>
      <c r="DL173"/>
      <c r="DP173"/>
      <c r="DQ173"/>
    </row>
    <row r="174" spans="19:121" ht="14.4" x14ac:dyDescent="0.3">
      <c r="S174"/>
      <c r="T174"/>
      <c r="AA174"/>
      <c r="AB174"/>
      <c r="AI174"/>
      <c r="AJ174"/>
      <c r="AQ174"/>
      <c r="AR174"/>
      <c r="AU174"/>
      <c r="AV174"/>
      <c r="AY174"/>
      <c r="AZ174"/>
      <c r="BB174"/>
      <c r="BC174"/>
      <c r="BF174"/>
      <c r="BG174"/>
      <c r="BM174"/>
      <c r="BN174"/>
      <c r="BY174"/>
      <c r="BZ174"/>
      <c r="CJ174"/>
      <c r="CK174"/>
      <c r="CN174"/>
      <c r="CO174"/>
      <c r="DC174"/>
      <c r="DD174"/>
      <c r="DK174"/>
      <c r="DL174"/>
      <c r="DP174"/>
      <c r="DQ174"/>
    </row>
    <row r="175" spans="19:121" ht="14.4" x14ac:dyDescent="0.3">
      <c r="S175"/>
      <c r="T175"/>
      <c r="AA175"/>
      <c r="AB175"/>
      <c r="AI175"/>
      <c r="AJ175"/>
      <c r="AQ175"/>
      <c r="AR175"/>
      <c r="AU175"/>
      <c r="AV175"/>
      <c r="AY175"/>
      <c r="AZ175"/>
      <c r="BB175"/>
      <c r="BC175"/>
      <c r="BF175"/>
      <c r="BG175"/>
      <c r="BM175"/>
      <c r="BN175"/>
      <c r="BY175"/>
      <c r="BZ175"/>
      <c r="CJ175"/>
      <c r="CK175"/>
      <c r="CN175"/>
      <c r="CO175"/>
      <c r="DC175"/>
      <c r="DD175"/>
      <c r="DK175"/>
      <c r="DL175"/>
      <c r="DP175"/>
      <c r="DQ175"/>
    </row>
    <row r="176" spans="19:121" ht="14.4" x14ac:dyDescent="0.3">
      <c r="S176"/>
      <c r="T176"/>
      <c r="AA176"/>
      <c r="AB176"/>
      <c r="AI176"/>
      <c r="AJ176"/>
      <c r="AQ176"/>
      <c r="AR176"/>
      <c r="AU176"/>
      <c r="AV176"/>
      <c r="AY176"/>
      <c r="AZ176"/>
      <c r="BB176"/>
      <c r="BC176"/>
      <c r="BF176"/>
      <c r="BG176"/>
      <c r="BM176"/>
      <c r="BN176"/>
      <c r="BY176"/>
      <c r="BZ176"/>
      <c r="CJ176"/>
      <c r="CK176"/>
      <c r="CN176"/>
      <c r="CO176"/>
      <c r="DC176"/>
      <c r="DD176"/>
      <c r="DK176"/>
      <c r="DL176"/>
      <c r="DP176"/>
      <c r="DQ176"/>
    </row>
    <row r="177" spans="19:121" ht="14.4" x14ac:dyDescent="0.3">
      <c r="S177"/>
      <c r="T177"/>
      <c r="AA177"/>
      <c r="AB177"/>
      <c r="AI177"/>
      <c r="AJ177"/>
      <c r="AQ177"/>
      <c r="AR177"/>
      <c r="AU177"/>
      <c r="AV177"/>
      <c r="AY177"/>
      <c r="AZ177"/>
      <c r="BB177"/>
      <c r="BC177"/>
      <c r="BF177"/>
      <c r="BG177"/>
      <c r="BM177"/>
      <c r="BN177"/>
      <c r="BY177"/>
      <c r="BZ177"/>
      <c r="CJ177"/>
      <c r="CK177"/>
      <c r="CN177"/>
      <c r="CO177"/>
      <c r="DC177"/>
      <c r="DD177"/>
      <c r="DK177"/>
      <c r="DL177"/>
      <c r="DP177"/>
      <c r="DQ177"/>
    </row>
    <row r="178" spans="19:121" ht="14.4" x14ac:dyDescent="0.3">
      <c r="S178"/>
      <c r="T178"/>
      <c r="AA178"/>
      <c r="AB178"/>
      <c r="AI178"/>
      <c r="AJ178"/>
      <c r="AQ178"/>
      <c r="AR178"/>
      <c r="AU178"/>
      <c r="AV178"/>
      <c r="AY178"/>
      <c r="AZ178"/>
      <c r="BB178"/>
      <c r="BC178"/>
      <c r="BF178"/>
      <c r="BG178"/>
      <c r="BM178"/>
      <c r="BN178"/>
      <c r="BY178"/>
      <c r="BZ178"/>
      <c r="CJ178"/>
      <c r="CK178"/>
      <c r="CN178"/>
      <c r="CO178"/>
      <c r="DC178"/>
      <c r="DD178"/>
      <c r="DK178"/>
      <c r="DL178"/>
      <c r="DP178"/>
      <c r="DQ178"/>
    </row>
    <row r="179" spans="19:121" ht="14.4" x14ac:dyDescent="0.3">
      <c r="S179"/>
      <c r="T179"/>
      <c r="AA179"/>
      <c r="AB179"/>
      <c r="AI179"/>
      <c r="AJ179"/>
      <c r="AQ179"/>
      <c r="AR179"/>
      <c r="AU179"/>
      <c r="AV179"/>
      <c r="AY179"/>
      <c r="AZ179"/>
      <c r="BB179"/>
      <c r="BC179"/>
      <c r="BF179"/>
      <c r="BG179"/>
      <c r="BM179"/>
      <c r="BN179"/>
      <c r="BY179"/>
      <c r="BZ179"/>
      <c r="CJ179"/>
      <c r="CK179"/>
      <c r="CN179"/>
      <c r="CO179"/>
      <c r="DC179"/>
      <c r="DD179"/>
      <c r="DK179"/>
      <c r="DL179"/>
      <c r="DP179"/>
      <c r="DQ179"/>
    </row>
    <row r="180" spans="19:121" ht="14.4" x14ac:dyDescent="0.3">
      <c r="S180"/>
      <c r="T180"/>
      <c r="AA180"/>
      <c r="AB180"/>
      <c r="AI180"/>
      <c r="AJ180"/>
      <c r="AQ180"/>
      <c r="AR180"/>
      <c r="AU180"/>
      <c r="AV180"/>
      <c r="AY180"/>
      <c r="AZ180"/>
      <c r="BB180"/>
      <c r="BC180"/>
      <c r="BF180"/>
      <c r="BG180"/>
      <c r="BM180"/>
      <c r="BN180"/>
      <c r="BY180"/>
      <c r="BZ180"/>
      <c r="CJ180"/>
      <c r="CK180"/>
      <c r="CN180"/>
      <c r="CO180"/>
      <c r="DC180"/>
      <c r="DD180"/>
      <c r="DK180"/>
      <c r="DL180"/>
      <c r="DP180"/>
      <c r="DQ180"/>
    </row>
    <row r="181" spans="19:121" ht="14.4" x14ac:dyDescent="0.3">
      <c r="S181"/>
      <c r="T181"/>
      <c r="AA181"/>
      <c r="AB181"/>
      <c r="AI181"/>
      <c r="AJ181"/>
      <c r="AQ181"/>
      <c r="AR181"/>
      <c r="AU181"/>
      <c r="AV181"/>
      <c r="AY181"/>
      <c r="AZ181"/>
      <c r="BB181"/>
      <c r="BC181"/>
      <c r="BF181"/>
      <c r="BG181"/>
      <c r="BM181"/>
      <c r="BN181"/>
      <c r="BY181"/>
      <c r="BZ181"/>
      <c r="CJ181"/>
      <c r="CK181"/>
      <c r="CN181"/>
      <c r="CO181"/>
      <c r="DC181"/>
      <c r="DD181"/>
      <c r="DK181"/>
      <c r="DL181"/>
      <c r="DP181"/>
      <c r="DQ181"/>
    </row>
    <row r="182" spans="19:121" ht="14.4" x14ac:dyDescent="0.3">
      <c r="S182"/>
      <c r="T182"/>
      <c r="AA182"/>
      <c r="AB182"/>
      <c r="AI182"/>
      <c r="AJ182"/>
      <c r="AQ182"/>
      <c r="AR182"/>
      <c r="AU182"/>
      <c r="AV182"/>
      <c r="AY182"/>
      <c r="AZ182"/>
      <c r="BB182"/>
      <c r="BC182"/>
      <c r="BF182"/>
      <c r="BG182"/>
      <c r="BM182"/>
      <c r="BN182"/>
      <c r="BY182"/>
      <c r="BZ182"/>
      <c r="CJ182"/>
      <c r="CK182"/>
      <c r="CN182"/>
      <c r="CO182"/>
      <c r="DC182"/>
      <c r="DD182"/>
      <c r="DK182"/>
      <c r="DL182"/>
      <c r="DP182"/>
      <c r="DQ182"/>
    </row>
  </sheetData>
  <pageMargins left="0.7" right="0.7" top="0.75" bottom="0.75" header="0.3" footer="0.3"/>
  <pageSetup orientation="portrait" r:id="rId2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0168E-DB1D-48E6-A37B-B6FC88835994}">
  <sheetPr codeName="Sheet3">
    <tabColor rgb="FFC00000"/>
  </sheetPr>
  <dimension ref="A1:AA48"/>
  <sheetViews>
    <sheetView showGridLines="0" showRowColHeaders="0" tabSelected="1" zoomScale="90" zoomScaleNormal="90" workbookViewId="0">
      <selection activeCell="B2" sqref="B2"/>
    </sheetView>
  </sheetViews>
  <sheetFormatPr defaultColWidth="0" defaultRowHeight="14.4" zeroHeight="1" x14ac:dyDescent="0.3"/>
  <cols>
    <col min="1" max="27" width="8.88671875" style="19" customWidth="1"/>
    <col min="28" max="16384" width="8.88671875" style="19"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sheetData>
  <sheetProtection algorithmName="SHA-512" hashValue="1D0lhEArwYs/I6qv2lHwwBjaRuntDx/91BkWcNbSCGhEX+XYoDhODpgOQ7w6+Y1sMq+/SHiuGYip4pUDOxVXRw==" saltValue="q0AzTk2NlIckJdtJpdsNJA==" spinCount="100000" sheet="1" objects="1" scenarios="1"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C5BD-B058-416F-9B5A-B487B4C157EF}">
  <dimension ref="A1"/>
  <sheetViews>
    <sheetView workbookViewId="0"/>
  </sheetViews>
  <sheetFormatPr defaultRowHeight="14.4" x14ac:dyDescent="0.3"/>
  <sheetData>
    <row r="1" spans="1:1" x14ac:dyDescent="0.3">
      <c r="A1">
        <v>12345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Database</vt:lpstr>
      <vt:lpstr>Pivot_tables</vt:lpstr>
      <vt:lpstr>Dashboard</vt:lpstr>
      <vt:lpstr>passwd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Gangadharan</dc:creator>
  <cp:lastModifiedBy>Akash Gangadharan</cp:lastModifiedBy>
  <dcterms:created xsi:type="dcterms:W3CDTF">2022-02-05T14:20:30Z</dcterms:created>
  <dcterms:modified xsi:type="dcterms:W3CDTF">2022-02-06T15:06:08Z</dcterms:modified>
</cp:coreProperties>
</file>